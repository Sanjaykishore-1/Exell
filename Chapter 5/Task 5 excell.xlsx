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5/"/>
    </mc:Choice>
  </mc:AlternateContent>
  <xr:revisionPtr revIDLastSave="1" documentId="8_{957F5024-556C-4358-A038-29434CFDCDFE}" xr6:coauthVersionLast="47" xr6:coauthVersionMax="47" xr10:uidLastSave="{453FC910-DF07-45E7-8134-0F7084030AD8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1" l="1" a="1"/>
  <c r="I96" i="1" s="1"/>
  <c r="I92" i="1" a="1"/>
  <c r="I92" i="1" s="1"/>
  <c r="I86" i="1" a="1"/>
  <c r="I86" i="1"/>
  <c r="I79" i="1" a="1"/>
  <c r="I79" i="1" s="1"/>
  <c r="I73" i="1" a="1"/>
  <c r="I73" i="1" s="1"/>
  <c r="I68" i="1" a="1"/>
  <c r="I68" i="1" s="1"/>
  <c r="I54" i="1" a="1"/>
  <c r="I54" i="1" s="1"/>
  <c r="I42" i="1" a="1"/>
  <c r="I42" i="1" s="1"/>
  <c r="I30" i="1" a="1"/>
  <c r="I30" i="1" s="1"/>
  <c r="I18" i="1" a="1"/>
  <c r="I18" i="1" s="1"/>
  <c r="J14" i="1"/>
  <c r="J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<sst xmlns="http://schemas.openxmlformats.org/spreadsheetml/2006/main" count="113" uniqueCount="54">
  <si>
    <t>Emp ID</t>
  </si>
  <si>
    <t>Employee Name</t>
  </si>
  <si>
    <t>Department</t>
  </si>
  <si>
    <t>Salary</t>
  </si>
  <si>
    <t>Location</t>
  </si>
  <si>
    <t>Joining Year</t>
  </si>
  <si>
    <t>E001</t>
  </si>
  <si>
    <t>Rahul Sharma</t>
  </si>
  <si>
    <t>Sales</t>
  </si>
  <si>
    <t>Delhi</t>
  </si>
  <si>
    <t>E002</t>
  </si>
  <si>
    <t>Anita Singh</t>
  </si>
  <si>
    <t>HR</t>
  </si>
  <si>
    <t>Mumbai</t>
  </si>
  <si>
    <t>E003</t>
  </si>
  <si>
    <t>David Mathews</t>
  </si>
  <si>
    <t>IT</t>
  </si>
  <si>
    <t>Bangalore</t>
  </si>
  <si>
    <t>E004</t>
  </si>
  <si>
    <t>Priya R</t>
  </si>
  <si>
    <t>Pune</t>
  </si>
  <si>
    <t>E005</t>
  </si>
  <si>
    <t>Sunil Kumar</t>
  </si>
  <si>
    <t>Finance</t>
  </si>
  <si>
    <t>E006</t>
  </si>
  <si>
    <t>Maria Lopez</t>
  </si>
  <si>
    <t>Marketing</t>
  </si>
  <si>
    <t>Chennai</t>
  </si>
  <si>
    <t>E007</t>
  </si>
  <si>
    <t>John Paul</t>
  </si>
  <si>
    <t>E008</t>
  </si>
  <si>
    <t>Khushi Jain</t>
  </si>
  <si>
    <t>E009</t>
  </si>
  <si>
    <t>Rohan Mehta</t>
  </si>
  <si>
    <t>Hyderabad</t>
  </si>
  <si>
    <t>E010</t>
  </si>
  <si>
    <t>Aman Verma</t>
  </si>
  <si>
    <t>1.	Find the salary of the employee with Emp ID “E006”.</t>
  </si>
  <si>
    <t>INDEX + MATCH</t>
  </si>
  <si>
    <t>2.	Find the department of “John Paul” using MATCH + INDEX.</t>
  </si>
  <si>
    <t>Task 2 - SORT / SORTBY</t>
  </si>
  <si>
    <t>1. Sort the entire table by Salary in descending order using SORT.</t>
  </si>
  <si>
    <t>2.Sort employees alphabetically by Employee Name</t>
  </si>
  <si>
    <t>3. Sort employees by Department (A–Z) and then Salary (lowest to highest).</t>
  </si>
  <si>
    <t>4. Sort employees by Joining Year (oldest to newest).</t>
  </si>
  <si>
    <t xml:space="preserve">Task 3 - FILTER </t>
  </si>
  <si>
    <t>1. Filter only employees who work in the IT department.</t>
  </si>
  <si>
    <t>2. Filter employees who earn more than 60,000.</t>
  </si>
  <si>
    <t>3.Filter employees located in Delhi.</t>
  </si>
  <si>
    <t>Task 4 - UNIQUE / SEQUENCE</t>
  </si>
  <si>
    <t>1. Return a list of unique departments using UNIQUE.</t>
  </si>
  <si>
    <t>2. Generate a sequence of joining years from 2018 to 2023 using SEQUENCE.</t>
  </si>
  <si>
    <t xml:space="preserve">Task 5 - RANDARRAY </t>
  </si>
  <si>
    <t>3.Generate 10 random salary values between 40,000 and 80,000 using RANDARRAY.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</si>
</sst>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9C5700"/>
      <name val="Arial"/>
      <family val="2"/>
      <scheme val="minor"/>
    </font>
    <font>
      <b/>
      <sz val="14"/>
      <color rgb="FF1155CC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2" borderId="1" xfId="1" applyBorder="1"/>
    <xf numFmtId="0" fontId="6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3" fillId="2" borderId="3" xfId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3" fillId="2" borderId="3" xfId="1" applyFont="1" applyBorder="1"/>
    <xf numFmtId="0" fontId="5" fillId="0" borderId="3" xfId="0" applyFont="1" applyBorder="1"/>
    <xf numFmtId="0" fontId="0" fillId="0" borderId="3" xfId="0" applyBorder="1"/>
    <xf numFmtId="0" fontId="2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7"/>
  <sheetViews>
    <sheetView tabSelected="1" topLeftCell="A59" workbookViewId="0">
      <selection activeCell="H12" sqref="H12"/>
    </sheetView>
  </sheetViews>
  <sheetFormatPr defaultColWidth="12.5703125" defaultRowHeight="15.75" customHeight="1"/>
  <cols>
    <col min="2" max="2" width="15" customWidth="1"/>
    <col min="8" max="8" width="80.7109375" customWidth="1"/>
    <col min="9" max="9" width="17.5703125" customWidth="1"/>
    <col min="10" max="10" width="17.140625" customWidth="1"/>
    <col min="12" max="12" width="13.28515625" customWidth="1"/>
    <col min="13" max="13" width="14" customWidth="1"/>
    <col min="14" max="14" width="17.85546875" customWidth="1"/>
  </cols>
  <sheetData>
    <row r="1" spans="1:1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>
      <c r="A2" s="2" t="s">
        <v>6</v>
      </c>
      <c r="B2" s="2" t="s">
        <v>7</v>
      </c>
      <c r="C2" s="2" t="s">
        <v>8</v>
      </c>
      <c r="D2" s="3">
        <v>55000</v>
      </c>
      <c r="E2" s="2" t="s">
        <v>9</v>
      </c>
      <c r="F2" s="3">
        <v>2021</v>
      </c>
    </row>
    <row r="3" spans="1:10">
      <c r="A3" s="2" t="s">
        <v>10</v>
      </c>
      <c r="B3" s="2" t="s">
        <v>11</v>
      </c>
      <c r="C3" s="2" t="s">
        <v>12</v>
      </c>
      <c r="D3" s="3">
        <v>48000</v>
      </c>
      <c r="E3" s="2" t="s">
        <v>13</v>
      </c>
      <c r="F3" s="3">
        <v>2019</v>
      </c>
    </row>
    <row r="4" spans="1:10">
      <c r="A4" s="2" t="s">
        <v>14</v>
      </c>
      <c r="B4" s="2" t="s">
        <v>15</v>
      </c>
      <c r="C4" s="2" t="s">
        <v>16</v>
      </c>
      <c r="D4" s="3">
        <v>72000</v>
      </c>
      <c r="E4" s="2" t="s">
        <v>17</v>
      </c>
      <c r="F4" s="3">
        <v>2020</v>
      </c>
    </row>
    <row r="5" spans="1:10">
      <c r="A5" s="2" t="s">
        <v>18</v>
      </c>
      <c r="B5" s="2" t="s">
        <v>19</v>
      </c>
      <c r="C5" s="2" t="s">
        <v>16</v>
      </c>
      <c r="D5" s="3">
        <v>69000</v>
      </c>
      <c r="E5" s="2" t="s">
        <v>20</v>
      </c>
      <c r="F5" s="3">
        <v>2022</v>
      </c>
    </row>
    <row r="6" spans="1:10">
      <c r="A6" s="2" t="s">
        <v>21</v>
      </c>
      <c r="B6" s="2" t="s">
        <v>22</v>
      </c>
      <c r="C6" s="2" t="s">
        <v>23</v>
      </c>
      <c r="D6" s="3">
        <v>58000</v>
      </c>
      <c r="E6" s="2" t="s">
        <v>9</v>
      </c>
      <c r="F6" s="3">
        <v>2021</v>
      </c>
    </row>
    <row r="7" spans="1:10">
      <c r="A7" s="2" t="s">
        <v>24</v>
      </c>
      <c r="B7" s="2" t="s">
        <v>25</v>
      </c>
      <c r="C7" s="2" t="s">
        <v>26</v>
      </c>
      <c r="D7" s="3">
        <v>51000</v>
      </c>
      <c r="E7" s="2" t="s">
        <v>27</v>
      </c>
      <c r="F7" s="3">
        <v>2018</v>
      </c>
    </row>
    <row r="8" spans="1:10">
      <c r="A8" s="2" t="s">
        <v>28</v>
      </c>
      <c r="B8" s="2" t="s">
        <v>29</v>
      </c>
      <c r="C8" s="2" t="s">
        <v>8</v>
      </c>
      <c r="D8" s="3">
        <v>60000</v>
      </c>
      <c r="E8" s="2" t="s">
        <v>13</v>
      </c>
      <c r="F8" s="3">
        <v>2023</v>
      </c>
    </row>
    <row r="9" spans="1:10">
      <c r="A9" s="2" t="s">
        <v>30</v>
      </c>
      <c r="B9" s="2" t="s">
        <v>31</v>
      </c>
      <c r="C9" s="2" t="s">
        <v>12</v>
      </c>
      <c r="D9" s="3">
        <v>47000</v>
      </c>
      <c r="E9" s="2" t="s">
        <v>17</v>
      </c>
      <c r="F9" s="3">
        <v>2022</v>
      </c>
    </row>
    <row r="10" spans="1:10">
      <c r="A10" s="2" t="s">
        <v>32</v>
      </c>
      <c r="B10" s="2" t="s">
        <v>33</v>
      </c>
      <c r="C10" s="2" t="s">
        <v>16</v>
      </c>
      <c r="D10" s="3">
        <v>73000</v>
      </c>
      <c r="E10" s="2" t="s">
        <v>34</v>
      </c>
      <c r="F10" s="3">
        <v>2019</v>
      </c>
    </row>
    <row r="11" spans="1:10" ht="14.25">
      <c r="A11" s="2" t="s">
        <v>35</v>
      </c>
      <c r="B11" s="2" t="s">
        <v>36</v>
      </c>
      <c r="C11" s="2" t="s">
        <v>23</v>
      </c>
      <c r="D11" s="3">
        <v>54000</v>
      </c>
      <c r="E11" s="2" t="s">
        <v>9</v>
      </c>
      <c r="F11" s="3">
        <v>2020</v>
      </c>
    </row>
    <row r="12" spans="1:10" ht="15.75" customHeight="1">
      <c r="H12" s="5" t="s">
        <v>38</v>
      </c>
    </row>
    <row r="13" spans="1:10" ht="15.75" customHeight="1">
      <c r="H13" t="s">
        <v>37</v>
      </c>
      <c r="I13" s="22" t="s">
        <v>24</v>
      </c>
      <c r="J13" s="23">
        <f>INDEX(D2:D11,MATCH(I13,A2:A11,0))</f>
        <v>51000</v>
      </c>
    </row>
    <row r="14" spans="1:10" ht="15.75" customHeight="1">
      <c r="H14" s="4" t="s">
        <v>39</v>
      </c>
      <c r="I14" s="22" t="s">
        <v>29</v>
      </c>
      <c r="J14" s="23" t="str">
        <f>INDEX(C2:C11,MATCH(I14,B2:B11,0))</f>
        <v>Sales</v>
      </c>
    </row>
    <row r="16" spans="1:10" ht="15.75" customHeight="1">
      <c r="H16" s="5" t="s">
        <v>40</v>
      </c>
    </row>
    <row r="17" spans="8:14" ht="15.75" customHeight="1">
      <c r="H17" s="6" t="s">
        <v>41</v>
      </c>
      <c r="I17" s="1" t="s">
        <v>0</v>
      </c>
      <c r="J17" s="1" t="s">
        <v>1</v>
      </c>
      <c r="K17" s="1" t="s">
        <v>2</v>
      </c>
      <c r="L17" s="1" t="s">
        <v>3</v>
      </c>
      <c r="M17" s="1" t="s">
        <v>4</v>
      </c>
      <c r="N17" s="1" t="s">
        <v>5</v>
      </c>
    </row>
    <row r="18" spans="8:14" ht="15.75" customHeight="1">
      <c r="I18" s="7" t="str" cm="1">
        <f t="array" ref="I18:N27">_xlfn._xlws.SORT(A2:F11,4,-1,FALSE)</f>
        <v>E009</v>
      </c>
      <c r="J18" s="2" t="str">
        <v>Rohan Mehta</v>
      </c>
      <c r="K18" s="2" t="str">
        <v>IT</v>
      </c>
      <c r="L18" s="3">
        <v>73000</v>
      </c>
      <c r="M18" s="2" t="str">
        <v>Hyderabad</v>
      </c>
      <c r="N18" s="3">
        <v>2019</v>
      </c>
    </row>
    <row r="19" spans="8:14" ht="15.75" customHeight="1">
      <c r="I19" s="2" t="str">
        <v>E003</v>
      </c>
      <c r="J19" s="2" t="str">
        <v>David Mathews</v>
      </c>
      <c r="K19" s="2" t="str">
        <v>IT</v>
      </c>
      <c r="L19" s="3">
        <v>72000</v>
      </c>
      <c r="M19" s="2" t="str">
        <v>Bangalore</v>
      </c>
      <c r="N19" s="3">
        <v>2020</v>
      </c>
    </row>
    <row r="20" spans="8:14" ht="15.75" customHeight="1">
      <c r="I20" s="2" t="str">
        <v>E004</v>
      </c>
      <c r="J20" s="2" t="str">
        <v>Priya R</v>
      </c>
      <c r="K20" s="2" t="str">
        <v>IT</v>
      </c>
      <c r="L20" s="3">
        <v>69000</v>
      </c>
      <c r="M20" s="2" t="str">
        <v>Pune</v>
      </c>
      <c r="N20" s="3">
        <v>2022</v>
      </c>
    </row>
    <row r="21" spans="8:14" ht="15.75" customHeight="1">
      <c r="I21" s="2" t="str">
        <v>E007</v>
      </c>
      <c r="J21" s="2" t="str">
        <v>John Paul</v>
      </c>
      <c r="K21" s="2" t="str">
        <v>Sales</v>
      </c>
      <c r="L21" s="3">
        <v>60000</v>
      </c>
      <c r="M21" s="2" t="str">
        <v>Mumbai</v>
      </c>
      <c r="N21" s="3">
        <v>2023</v>
      </c>
    </row>
    <row r="22" spans="8:14" ht="15.75" customHeight="1">
      <c r="I22" s="2" t="str">
        <v>E005</v>
      </c>
      <c r="J22" s="2" t="str">
        <v>Sunil Kumar</v>
      </c>
      <c r="K22" s="2" t="str">
        <v>Finance</v>
      </c>
      <c r="L22" s="3">
        <v>58000</v>
      </c>
      <c r="M22" s="2" t="str">
        <v>Delhi</v>
      </c>
      <c r="N22" s="3">
        <v>2021</v>
      </c>
    </row>
    <row r="23" spans="8:14" ht="15.75" customHeight="1">
      <c r="I23" s="2" t="str">
        <v>E001</v>
      </c>
      <c r="J23" s="2" t="str">
        <v>Rahul Sharma</v>
      </c>
      <c r="K23" s="2" t="str">
        <v>Sales</v>
      </c>
      <c r="L23" s="3">
        <v>55000</v>
      </c>
      <c r="M23" s="2" t="str">
        <v>Delhi</v>
      </c>
      <c r="N23" s="3">
        <v>2021</v>
      </c>
    </row>
    <row r="24" spans="8:14" ht="15.75" customHeight="1">
      <c r="I24" s="2" t="str">
        <v>E010</v>
      </c>
      <c r="J24" s="2" t="str">
        <v>Aman Verma</v>
      </c>
      <c r="K24" s="2" t="str">
        <v>Finance</v>
      </c>
      <c r="L24" s="3">
        <v>54000</v>
      </c>
      <c r="M24" s="2" t="str">
        <v>Delhi</v>
      </c>
      <c r="N24" s="3">
        <v>2020</v>
      </c>
    </row>
    <row r="25" spans="8:14" ht="15.75" customHeight="1">
      <c r="I25" s="2" t="str">
        <v>E006</v>
      </c>
      <c r="J25" s="2" t="str">
        <v>Maria Lopez</v>
      </c>
      <c r="K25" s="2" t="str">
        <v>Marketing</v>
      </c>
      <c r="L25" s="3">
        <v>51000</v>
      </c>
      <c r="M25" s="2" t="str">
        <v>Chennai</v>
      </c>
      <c r="N25" s="3">
        <v>2018</v>
      </c>
    </row>
    <row r="26" spans="8:14" ht="15.75" customHeight="1">
      <c r="I26" s="2" t="str">
        <v>E002</v>
      </c>
      <c r="J26" s="2" t="str">
        <v>Anita Singh</v>
      </c>
      <c r="K26" s="2" t="str">
        <v>HR</v>
      </c>
      <c r="L26" s="3">
        <v>48000</v>
      </c>
      <c r="M26" s="2" t="str">
        <v>Mumbai</v>
      </c>
      <c r="N26" s="3">
        <v>2019</v>
      </c>
    </row>
    <row r="27" spans="8:14" ht="15.75" customHeight="1">
      <c r="I27" s="2" t="str">
        <v>E008</v>
      </c>
      <c r="J27" s="2" t="str">
        <v>Khushi Jain</v>
      </c>
      <c r="K27" s="2" t="str">
        <v>HR</v>
      </c>
      <c r="L27" s="3">
        <v>47000</v>
      </c>
      <c r="M27" s="2" t="str">
        <v>Bangalore</v>
      </c>
      <c r="N27" s="3">
        <v>2022</v>
      </c>
    </row>
    <row r="29" spans="8:14" ht="15.75" customHeight="1">
      <c r="H29" s="8" t="s">
        <v>42</v>
      </c>
      <c r="I29" s="1" t="s">
        <v>0</v>
      </c>
      <c r="J29" s="1" t="s">
        <v>1</v>
      </c>
      <c r="K29" s="1" t="s">
        <v>2</v>
      </c>
      <c r="L29" s="1" t="s">
        <v>3</v>
      </c>
      <c r="M29" s="1" t="s">
        <v>4</v>
      </c>
      <c r="N29" s="1" t="s">
        <v>5</v>
      </c>
    </row>
    <row r="30" spans="8:14" ht="15.75" customHeight="1">
      <c r="I30" s="7" t="str" cm="1">
        <f t="array" ref="I30:N39">_xlfn._xlws.SORT(A2:F11,2,1,FALSE)</f>
        <v>E010</v>
      </c>
      <c r="J30" s="2" t="str">
        <v>Aman Verma</v>
      </c>
      <c r="K30" s="2" t="str">
        <v>Finance</v>
      </c>
      <c r="L30" s="3">
        <v>54000</v>
      </c>
      <c r="M30" s="2" t="str">
        <v>Delhi</v>
      </c>
      <c r="N30" s="3">
        <v>2020</v>
      </c>
    </row>
    <row r="31" spans="8:14" ht="15.75" customHeight="1">
      <c r="I31" s="2" t="str">
        <v>E002</v>
      </c>
      <c r="J31" s="2" t="str">
        <v>Anita Singh</v>
      </c>
      <c r="K31" s="2" t="str">
        <v>HR</v>
      </c>
      <c r="L31" s="3">
        <v>48000</v>
      </c>
      <c r="M31" s="2" t="str">
        <v>Mumbai</v>
      </c>
      <c r="N31" s="3">
        <v>2019</v>
      </c>
    </row>
    <row r="32" spans="8:14" ht="15.75" customHeight="1">
      <c r="I32" s="2" t="str">
        <v>E003</v>
      </c>
      <c r="J32" s="2" t="str">
        <v>David Mathews</v>
      </c>
      <c r="K32" s="2" t="str">
        <v>IT</v>
      </c>
      <c r="L32" s="3">
        <v>72000</v>
      </c>
      <c r="M32" s="2" t="str">
        <v>Bangalore</v>
      </c>
      <c r="N32" s="3">
        <v>2020</v>
      </c>
    </row>
    <row r="33" spans="8:14" ht="15.75" customHeight="1">
      <c r="I33" s="2" t="str">
        <v>E007</v>
      </c>
      <c r="J33" s="2" t="str">
        <v>John Paul</v>
      </c>
      <c r="K33" s="2" t="str">
        <v>Sales</v>
      </c>
      <c r="L33" s="3">
        <v>60000</v>
      </c>
      <c r="M33" s="2" t="str">
        <v>Mumbai</v>
      </c>
      <c r="N33" s="3">
        <v>2023</v>
      </c>
    </row>
    <row r="34" spans="8:14" ht="15.75" customHeight="1">
      <c r="I34" s="2" t="str">
        <v>E008</v>
      </c>
      <c r="J34" s="2" t="str">
        <v>Khushi Jain</v>
      </c>
      <c r="K34" s="2" t="str">
        <v>HR</v>
      </c>
      <c r="L34" s="3">
        <v>47000</v>
      </c>
      <c r="M34" s="2" t="str">
        <v>Bangalore</v>
      </c>
      <c r="N34" s="3">
        <v>2022</v>
      </c>
    </row>
    <row r="35" spans="8:14" ht="15.75" customHeight="1">
      <c r="I35" s="2" t="str">
        <v>E006</v>
      </c>
      <c r="J35" s="2" t="str">
        <v>Maria Lopez</v>
      </c>
      <c r="K35" s="2" t="str">
        <v>Marketing</v>
      </c>
      <c r="L35" s="3">
        <v>51000</v>
      </c>
      <c r="M35" s="2" t="str">
        <v>Chennai</v>
      </c>
      <c r="N35" s="3">
        <v>2018</v>
      </c>
    </row>
    <row r="36" spans="8:14" ht="15.75" customHeight="1">
      <c r="I36" s="2" t="str">
        <v>E004</v>
      </c>
      <c r="J36" s="2" t="str">
        <v>Priya R</v>
      </c>
      <c r="K36" s="2" t="str">
        <v>IT</v>
      </c>
      <c r="L36" s="3">
        <v>69000</v>
      </c>
      <c r="M36" s="2" t="str">
        <v>Pune</v>
      </c>
      <c r="N36" s="3">
        <v>2022</v>
      </c>
    </row>
    <row r="37" spans="8:14" ht="15.75" customHeight="1">
      <c r="I37" s="2" t="str">
        <v>E001</v>
      </c>
      <c r="J37" s="2" t="str">
        <v>Rahul Sharma</v>
      </c>
      <c r="K37" s="2" t="str">
        <v>Sales</v>
      </c>
      <c r="L37" s="3">
        <v>55000</v>
      </c>
      <c r="M37" s="2" t="str">
        <v>Delhi</v>
      </c>
      <c r="N37" s="3">
        <v>2021</v>
      </c>
    </row>
    <row r="38" spans="8:14" ht="15.75" customHeight="1">
      <c r="I38" s="2" t="str">
        <v>E009</v>
      </c>
      <c r="J38" s="2" t="str">
        <v>Rohan Mehta</v>
      </c>
      <c r="K38" s="2" t="str">
        <v>IT</v>
      </c>
      <c r="L38" s="3">
        <v>73000</v>
      </c>
      <c r="M38" s="2" t="str">
        <v>Hyderabad</v>
      </c>
      <c r="N38" s="3">
        <v>2019</v>
      </c>
    </row>
    <row r="39" spans="8:14" ht="15.75" customHeight="1">
      <c r="I39" s="2" t="str">
        <v>E005</v>
      </c>
      <c r="J39" s="2" t="str">
        <v>Sunil Kumar</v>
      </c>
      <c r="K39" s="2" t="str">
        <v>Finance</v>
      </c>
      <c r="L39" s="3">
        <v>58000</v>
      </c>
      <c r="M39" s="2" t="str">
        <v>Delhi</v>
      </c>
      <c r="N39" s="3">
        <v>2021</v>
      </c>
    </row>
    <row r="41" spans="8:14" ht="15.75" customHeight="1">
      <c r="H41" s="6" t="s">
        <v>43</v>
      </c>
      <c r="I41" s="1" t="s">
        <v>0</v>
      </c>
      <c r="J41" s="1" t="s">
        <v>1</v>
      </c>
      <c r="K41" s="1" t="s">
        <v>2</v>
      </c>
      <c r="L41" s="1" t="s">
        <v>3</v>
      </c>
      <c r="M41" s="1" t="s">
        <v>4</v>
      </c>
      <c r="N41" s="1" t="s">
        <v>5</v>
      </c>
    </row>
    <row r="42" spans="8:14" ht="15.75" customHeight="1">
      <c r="I42" s="7" t="str" cm="1">
        <f t="array" ref="I42:N51">_xlfn.SORTBY(A2:F11,C2:C11,1,D2:D11,1)</f>
        <v>E010</v>
      </c>
      <c r="J42" s="2" t="str">
        <v>Aman Verma</v>
      </c>
      <c r="K42" s="2" t="str">
        <v>Finance</v>
      </c>
      <c r="L42" s="3">
        <v>54000</v>
      </c>
      <c r="M42" s="2" t="str">
        <v>Delhi</v>
      </c>
      <c r="N42" s="3">
        <v>2020</v>
      </c>
    </row>
    <row r="43" spans="8:14" ht="15.75" customHeight="1">
      <c r="I43" s="2" t="str">
        <v>E005</v>
      </c>
      <c r="J43" s="2" t="str">
        <v>Sunil Kumar</v>
      </c>
      <c r="K43" s="2" t="str">
        <v>Finance</v>
      </c>
      <c r="L43" s="3">
        <v>58000</v>
      </c>
      <c r="M43" s="2" t="str">
        <v>Delhi</v>
      </c>
      <c r="N43" s="3">
        <v>2021</v>
      </c>
    </row>
    <row r="44" spans="8:14" ht="15.75" customHeight="1">
      <c r="I44" s="2" t="str">
        <v>E008</v>
      </c>
      <c r="J44" s="2" t="str">
        <v>Khushi Jain</v>
      </c>
      <c r="K44" s="2" t="str">
        <v>HR</v>
      </c>
      <c r="L44" s="3">
        <v>47000</v>
      </c>
      <c r="M44" s="2" t="str">
        <v>Bangalore</v>
      </c>
      <c r="N44" s="3">
        <v>2022</v>
      </c>
    </row>
    <row r="45" spans="8:14" ht="15.75" customHeight="1">
      <c r="I45" s="2" t="str">
        <v>E002</v>
      </c>
      <c r="J45" s="2" t="str">
        <v>Anita Singh</v>
      </c>
      <c r="K45" s="2" t="str">
        <v>HR</v>
      </c>
      <c r="L45" s="3">
        <v>48000</v>
      </c>
      <c r="M45" s="2" t="str">
        <v>Mumbai</v>
      </c>
      <c r="N45" s="3">
        <v>2019</v>
      </c>
    </row>
    <row r="46" spans="8:14" ht="15.75" customHeight="1">
      <c r="I46" s="2" t="str">
        <v>E004</v>
      </c>
      <c r="J46" s="2" t="str">
        <v>Priya R</v>
      </c>
      <c r="K46" s="2" t="str">
        <v>IT</v>
      </c>
      <c r="L46" s="3">
        <v>69000</v>
      </c>
      <c r="M46" s="2" t="str">
        <v>Pune</v>
      </c>
      <c r="N46" s="3">
        <v>2022</v>
      </c>
    </row>
    <row r="47" spans="8:14" ht="15.75" customHeight="1">
      <c r="I47" s="2" t="str">
        <v>E003</v>
      </c>
      <c r="J47" s="2" t="str">
        <v>David Mathews</v>
      </c>
      <c r="K47" s="2" t="str">
        <v>IT</v>
      </c>
      <c r="L47" s="3">
        <v>72000</v>
      </c>
      <c r="M47" s="2" t="str">
        <v>Bangalore</v>
      </c>
      <c r="N47" s="3">
        <v>2020</v>
      </c>
    </row>
    <row r="48" spans="8:14" ht="15.75" customHeight="1">
      <c r="I48" s="2" t="str">
        <v>E009</v>
      </c>
      <c r="J48" s="2" t="str">
        <v>Rohan Mehta</v>
      </c>
      <c r="K48" s="2" t="str">
        <v>IT</v>
      </c>
      <c r="L48" s="3">
        <v>73000</v>
      </c>
      <c r="M48" s="2" t="str">
        <v>Hyderabad</v>
      </c>
      <c r="N48" s="3">
        <v>2019</v>
      </c>
    </row>
    <row r="49" spans="8:14" ht="15.75" customHeight="1">
      <c r="I49" s="2" t="str">
        <v>E006</v>
      </c>
      <c r="J49" s="2" t="str">
        <v>Maria Lopez</v>
      </c>
      <c r="K49" s="2" t="str">
        <v>Marketing</v>
      </c>
      <c r="L49" s="3">
        <v>51000</v>
      </c>
      <c r="M49" s="2" t="str">
        <v>Chennai</v>
      </c>
      <c r="N49" s="3">
        <v>2018</v>
      </c>
    </row>
    <row r="50" spans="8:14" ht="15.75" customHeight="1">
      <c r="I50" s="2" t="str">
        <v>E001</v>
      </c>
      <c r="J50" s="2" t="str">
        <v>Rahul Sharma</v>
      </c>
      <c r="K50" s="2" t="str">
        <v>Sales</v>
      </c>
      <c r="L50" s="3">
        <v>55000</v>
      </c>
      <c r="M50" s="2" t="str">
        <v>Delhi</v>
      </c>
      <c r="N50" s="3">
        <v>2021</v>
      </c>
    </row>
    <row r="51" spans="8:14" ht="15.75" customHeight="1">
      <c r="I51" s="2" t="str">
        <v>E007</v>
      </c>
      <c r="J51" s="2" t="str">
        <v>John Paul</v>
      </c>
      <c r="K51" s="2" t="str">
        <v>Sales</v>
      </c>
      <c r="L51" s="3">
        <v>60000</v>
      </c>
      <c r="M51" s="2" t="str">
        <v>Mumbai</v>
      </c>
      <c r="N51" s="3">
        <v>2023</v>
      </c>
    </row>
    <row r="53" spans="8:14" ht="15.75" customHeight="1">
      <c r="H53" s="6" t="s">
        <v>44</v>
      </c>
      <c r="I53" s="1" t="s">
        <v>0</v>
      </c>
      <c r="J53" s="1" t="s">
        <v>1</v>
      </c>
      <c r="K53" s="1" t="s">
        <v>2</v>
      </c>
      <c r="L53" s="1" t="s">
        <v>3</v>
      </c>
      <c r="M53" s="1" t="s">
        <v>4</v>
      </c>
      <c r="N53" s="1" t="s">
        <v>5</v>
      </c>
    </row>
    <row r="54" spans="8:14" ht="15.75" customHeight="1">
      <c r="I54" s="7" t="str" cm="1">
        <f t="array" ref="I54:N63">_xlfn.SORTBY(A2:F11,F2:F11,1)</f>
        <v>E006</v>
      </c>
      <c r="J54" s="2" t="str">
        <v>Maria Lopez</v>
      </c>
      <c r="K54" s="2" t="str">
        <v>Marketing</v>
      </c>
      <c r="L54" s="3">
        <v>51000</v>
      </c>
      <c r="M54" s="2" t="str">
        <v>Chennai</v>
      </c>
      <c r="N54" s="3">
        <v>2018</v>
      </c>
    </row>
    <row r="55" spans="8:14" ht="15.75" customHeight="1">
      <c r="I55" s="2" t="str">
        <v>E002</v>
      </c>
      <c r="J55" s="2" t="str">
        <v>Anita Singh</v>
      </c>
      <c r="K55" s="2" t="str">
        <v>HR</v>
      </c>
      <c r="L55" s="3">
        <v>48000</v>
      </c>
      <c r="M55" s="2" t="str">
        <v>Mumbai</v>
      </c>
      <c r="N55" s="3">
        <v>2019</v>
      </c>
    </row>
    <row r="56" spans="8:14" ht="15.75" customHeight="1">
      <c r="I56" s="2" t="str">
        <v>E009</v>
      </c>
      <c r="J56" s="2" t="str">
        <v>Rohan Mehta</v>
      </c>
      <c r="K56" s="2" t="str">
        <v>IT</v>
      </c>
      <c r="L56" s="3">
        <v>73000</v>
      </c>
      <c r="M56" s="2" t="str">
        <v>Hyderabad</v>
      </c>
      <c r="N56" s="3">
        <v>2019</v>
      </c>
    </row>
    <row r="57" spans="8:14" ht="15.75" customHeight="1">
      <c r="I57" s="2" t="str">
        <v>E003</v>
      </c>
      <c r="J57" s="2" t="str">
        <v>David Mathews</v>
      </c>
      <c r="K57" s="2" t="str">
        <v>IT</v>
      </c>
      <c r="L57" s="3">
        <v>72000</v>
      </c>
      <c r="M57" s="2" t="str">
        <v>Bangalore</v>
      </c>
      <c r="N57" s="3">
        <v>2020</v>
      </c>
    </row>
    <row r="58" spans="8:14" ht="15.75" customHeight="1">
      <c r="I58" s="2" t="str">
        <v>E010</v>
      </c>
      <c r="J58" s="2" t="str">
        <v>Aman Verma</v>
      </c>
      <c r="K58" s="2" t="str">
        <v>Finance</v>
      </c>
      <c r="L58" s="3">
        <v>54000</v>
      </c>
      <c r="M58" s="2" t="str">
        <v>Delhi</v>
      </c>
      <c r="N58" s="3">
        <v>2020</v>
      </c>
    </row>
    <row r="59" spans="8:14" ht="15.75" customHeight="1">
      <c r="I59" s="2" t="str">
        <v>E001</v>
      </c>
      <c r="J59" s="2" t="str">
        <v>Rahul Sharma</v>
      </c>
      <c r="K59" s="2" t="str">
        <v>Sales</v>
      </c>
      <c r="L59" s="3">
        <v>55000</v>
      </c>
      <c r="M59" s="2" t="str">
        <v>Delhi</v>
      </c>
      <c r="N59" s="3">
        <v>2021</v>
      </c>
    </row>
    <row r="60" spans="8:14" ht="15.75" customHeight="1">
      <c r="I60" s="2" t="str">
        <v>E005</v>
      </c>
      <c r="J60" s="2" t="str">
        <v>Sunil Kumar</v>
      </c>
      <c r="K60" s="2" t="str">
        <v>Finance</v>
      </c>
      <c r="L60" s="3">
        <v>58000</v>
      </c>
      <c r="M60" s="2" t="str">
        <v>Delhi</v>
      </c>
      <c r="N60" s="3">
        <v>2021</v>
      </c>
    </row>
    <row r="61" spans="8:14" ht="15.75" customHeight="1">
      <c r="I61" s="2" t="str">
        <v>E004</v>
      </c>
      <c r="J61" s="2" t="str">
        <v>Priya R</v>
      </c>
      <c r="K61" s="2" t="str">
        <v>IT</v>
      </c>
      <c r="L61" s="3">
        <v>69000</v>
      </c>
      <c r="M61" s="2" t="str">
        <v>Pune</v>
      </c>
      <c r="N61" s="3">
        <v>2022</v>
      </c>
    </row>
    <row r="62" spans="8:14" ht="15.75" customHeight="1">
      <c r="I62" s="2" t="str">
        <v>E008</v>
      </c>
      <c r="J62" s="2" t="str">
        <v>Khushi Jain</v>
      </c>
      <c r="K62" s="2" t="str">
        <v>HR</v>
      </c>
      <c r="L62" s="3">
        <v>47000</v>
      </c>
      <c r="M62" s="2" t="str">
        <v>Bangalore</v>
      </c>
      <c r="N62" s="3">
        <v>2022</v>
      </c>
    </row>
    <row r="63" spans="8:14" ht="15.75" customHeight="1">
      <c r="I63" s="2" t="str">
        <v>E007</v>
      </c>
      <c r="J63" s="2" t="str">
        <v>John Paul</v>
      </c>
      <c r="K63" s="2" t="str">
        <v>Sales</v>
      </c>
      <c r="L63" s="3">
        <v>60000</v>
      </c>
      <c r="M63" s="2" t="str">
        <v>Mumbai</v>
      </c>
      <c r="N63" s="3">
        <v>2023</v>
      </c>
    </row>
    <row r="65" spans="8:14" ht="15.75" customHeight="1">
      <c r="H65" s="5" t="s">
        <v>45</v>
      </c>
    </row>
    <row r="67" spans="8:14" ht="15.75" customHeight="1">
      <c r="H67" s="6" t="s">
        <v>46</v>
      </c>
      <c r="I67" s="13" t="s">
        <v>0</v>
      </c>
      <c r="J67" s="13" t="s">
        <v>1</v>
      </c>
      <c r="K67" s="13" t="s">
        <v>2</v>
      </c>
      <c r="L67" s="13" t="s">
        <v>3</v>
      </c>
      <c r="M67" s="13" t="s">
        <v>4</v>
      </c>
      <c r="N67" s="13" t="s">
        <v>5</v>
      </c>
    </row>
    <row r="68" spans="8:14" ht="15.75" customHeight="1">
      <c r="I68" s="14" t="str" cm="1">
        <f t="array" ref="I68:N70">_xlfn._xlws.FILTER(A2:F11,C2:C11="IT")</f>
        <v>E003</v>
      </c>
      <c r="J68" s="15" t="str">
        <v>David Mathews</v>
      </c>
      <c r="K68" s="15" t="str">
        <v>IT</v>
      </c>
      <c r="L68" s="16">
        <v>72000</v>
      </c>
      <c r="M68" s="15" t="str">
        <v>Bangalore</v>
      </c>
      <c r="N68" s="16">
        <v>2020</v>
      </c>
    </row>
    <row r="69" spans="8:14" ht="15.75" customHeight="1">
      <c r="I69" s="15" t="str">
        <v>E004</v>
      </c>
      <c r="J69" s="15" t="str">
        <v>Priya R</v>
      </c>
      <c r="K69" s="15" t="str">
        <v>IT</v>
      </c>
      <c r="L69" s="16">
        <v>69000</v>
      </c>
      <c r="M69" s="15" t="str">
        <v>Pune</v>
      </c>
      <c r="N69" s="16">
        <v>2022</v>
      </c>
    </row>
    <row r="70" spans="8:14" ht="15.75" customHeight="1">
      <c r="I70" s="15" t="str">
        <v>E009</v>
      </c>
      <c r="J70" s="15" t="str">
        <v>Rohan Mehta</v>
      </c>
      <c r="K70" s="15" t="str">
        <v>IT</v>
      </c>
      <c r="L70" s="16">
        <v>73000</v>
      </c>
      <c r="M70" s="15" t="str">
        <v>Hyderabad</v>
      </c>
      <c r="N70" s="16">
        <v>2019</v>
      </c>
    </row>
    <row r="71" spans="8:14" ht="15.75" customHeight="1">
      <c r="I71" s="11"/>
      <c r="J71" s="11"/>
      <c r="K71" s="11"/>
      <c r="L71" s="12"/>
      <c r="M71" s="11"/>
      <c r="N71" s="12"/>
    </row>
    <row r="72" spans="8:14" ht="15.75" customHeight="1">
      <c r="H72" s="6" t="s">
        <v>47</v>
      </c>
      <c r="I72" s="1" t="s">
        <v>0</v>
      </c>
      <c r="J72" s="1" t="s">
        <v>1</v>
      </c>
      <c r="K72" s="1" t="s">
        <v>2</v>
      </c>
      <c r="L72" s="1" t="s">
        <v>3</v>
      </c>
      <c r="M72" s="1" t="s">
        <v>4</v>
      </c>
      <c r="N72" s="1" t="s">
        <v>5</v>
      </c>
    </row>
    <row r="73" spans="8:14" ht="15.75" customHeight="1">
      <c r="I73" s="7" t="str" cm="1">
        <f t="array" ref="I73:N76">_xlfn._xlws.FILTER(A2:F11,D2:D11&gt;=60000)</f>
        <v>E003</v>
      </c>
      <c r="J73" s="2" t="str">
        <v>David Mathews</v>
      </c>
      <c r="K73" s="2" t="str">
        <v>IT</v>
      </c>
      <c r="L73" s="3">
        <v>72000</v>
      </c>
      <c r="M73" s="2" t="str">
        <v>Bangalore</v>
      </c>
      <c r="N73" s="3">
        <v>2020</v>
      </c>
    </row>
    <row r="74" spans="8:14" ht="15.75" customHeight="1">
      <c r="I74" s="2" t="str">
        <v>E004</v>
      </c>
      <c r="J74" s="2" t="str">
        <v>Priya R</v>
      </c>
      <c r="K74" s="2" t="str">
        <v>IT</v>
      </c>
      <c r="L74" s="3">
        <v>69000</v>
      </c>
      <c r="M74" s="2" t="str">
        <v>Pune</v>
      </c>
      <c r="N74" s="3">
        <v>2022</v>
      </c>
    </row>
    <row r="75" spans="8:14" ht="15.75" customHeight="1">
      <c r="I75" s="2" t="str">
        <v>E007</v>
      </c>
      <c r="J75" s="2" t="str">
        <v>John Paul</v>
      </c>
      <c r="K75" s="2" t="str">
        <v>Sales</v>
      </c>
      <c r="L75" s="3">
        <v>60000</v>
      </c>
      <c r="M75" s="2" t="str">
        <v>Mumbai</v>
      </c>
      <c r="N75" s="3">
        <v>2023</v>
      </c>
    </row>
    <row r="76" spans="8:14" ht="15.75" customHeight="1">
      <c r="I76" s="9" t="str">
        <v>E009</v>
      </c>
      <c r="J76" s="9" t="str">
        <v>Rohan Mehta</v>
      </c>
      <c r="K76" s="9" t="str">
        <v>IT</v>
      </c>
      <c r="L76" s="10">
        <v>73000</v>
      </c>
      <c r="M76" s="9" t="str">
        <v>Hyderabad</v>
      </c>
      <c r="N76" s="10">
        <v>2019</v>
      </c>
    </row>
    <row r="77" spans="8:14" ht="15.75" customHeight="1">
      <c r="I77" s="17"/>
      <c r="J77" s="17"/>
      <c r="K77" s="17"/>
      <c r="L77" s="18"/>
      <c r="M77" s="17"/>
      <c r="N77" s="18"/>
    </row>
    <row r="78" spans="8:14" ht="15.75" customHeight="1">
      <c r="H78" s="8" t="s">
        <v>48</v>
      </c>
      <c r="I78" s="13" t="s">
        <v>0</v>
      </c>
      <c r="J78" s="13" t="s">
        <v>1</v>
      </c>
      <c r="K78" s="13" t="s">
        <v>2</v>
      </c>
      <c r="L78" s="13" t="s">
        <v>3</v>
      </c>
      <c r="M78" s="13" t="s">
        <v>4</v>
      </c>
      <c r="N78" s="13" t="s">
        <v>5</v>
      </c>
    </row>
    <row r="79" spans="8:14" ht="15.75" customHeight="1">
      <c r="I79" s="14" t="str" cm="1">
        <f t="array" ref="I79:N81">_xlfn._xlws.FILTER(A2:F11,E2:E11="Delhi")</f>
        <v>E001</v>
      </c>
      <c r="J79" s="15" t="str">
        <v>Rahul Sharma</v>
      </c>
      <c r="K79" s="15" t="str">
        <v>Sales</v>
      </c>
      <c r="L79" s="16">
        <v>55000</v>
      </c>
      <c r="M79" s="15" t="str">
        <v>Delhi</v>
      </c>
      <c r="N79" s="16">
        <v>2021</v>
      </c>
    </row>
    <row r="80" spans="8:14" ht="15.75" customHeight="1">
      <c r="I80" s="15" t="str">
        <v>E005</v>
      </c>
      <c r="J80" s="15" t="str">
        <v>Sunil Kumar</v>
      </c>
      <c r="K80" s="15" t="str">
        <v>Finance</v>
      </c>
      <c r="L80" s="16">
        <v>58000</v>
      </c>
      <c r="M80" s="15" t="str">
        <v>Delhi</v>
      </c>
      <c r="N80" s="16">
        <v>2021</v>
      </c>
    </row>
    <row r="81" spans="8:14" ht="15.75" customHeight="1">
      <c r="I81" s="15" t="str">
        <v>E010</v>
      </c>
      <c r="J81" s="15" t="str">
        <v>Aman Verma</v>
      </c>
      <c r="K81" s="15" t="str">
        <v>Finance</v>
      </c>
      <c r="L81" s="16">
        <v>54000</v>
      </c>
      <c r="M81" s="15" t="str">
        <v>Delhi</v>
      </c>
      <c r="N81" s="16">
        <v>2020</v>
      </c>
    </row>
    <row r="82" spans="8:14" ht="15.75" customHeight="1">
      <c r="I82" s="11"/>
      <c r="J82" s="11"/>
      <c r="K82" s="11"/>
      <c r="L82" s="12"/>
      <c r="M82" s="11"/>
      <c r="N82" s="12"/>
    </row>
    <row r="83" spans="8:14" ht="15.75" customHeight="1">
      <c r="H83" s="5" t="s">
        <v>49</v>
      </c>
    </row>
    <row r="85" spans="8:14" ht="15.75" customHeight="1">
      <c r="H85" s="6" t="s">
        <v>50</v>
      </c>
      <c r="I85" s="13" t="s">
        <v>0</v>
      </c>
      <c r="J85" s="13" t="s">
        <v>1</v>
      </c>
      <c r="K85" s="13" t="s">
        <v>2</v>
      </c>
      <c r="L85" s="13" t="s">
        <v>3</v>
      </c>
      <c r="M85" s="13" t="s">
        <v>4</v>
      </c>
      <c r="N85" s="13" t="s">
        <v>5</v>
      </c>
    </row>
    <row r="86" spans="8:14" ht="15.75" customHeight="1">
      <c r="I86" s="14" t="str" cm="1">
        <f t="array" ref="I86:I90">_xlfn.UNIQUE(C2:C11,FALSE,FALSE)</f>
        <v>Sales</v>
      </c>
      <c r="J86" s="15"/>
      <c r="K86" s="15"/>
      <c r="L86" s="16"/>
      <c r="M86" s="15"/>
      <c r="N86" s="16"/>
    </row>
    <row r="87" spans="8:14" ht="15.75" customHeight="1">
      <c r="I87" s="15" t="str">
        <v>HR</v>
      </c>
      <c r="J87" s="15"/>
      <c r="K87" s="15"/>
      <c r="L87" s="16"/>
      <c r="M87" s="15"/>
      <c r="N87" s="16"/>
    </row>
    <row r="88" spans="8:14" ht="15.75" customHeight="1">
      <c r="I88" s="15" t="str">
        <v>IT</v>
      </c>
      <c r="J88" s="15"/>
      <c r="K88" s="15"/>
      <c r="L88" s="16"/>
      <c r="M88" s="15"/>
      <c r="N88" s="16"/>
    </row>
    <row r="89" spans="8:14" ht="15.75" customHeight="1">
      <c r="I89" s="15" t="str">
        <v>Finance</v>
      </c>
      <c r="J89" s="15"/>
      <c r="K89" s="15"/>
      <c r="L89" s="16"/>
      <c r="M89" s="15"/>
      <c r="N89" s="16"/>
    </row>
    <row r="90" spans="8:14" ht="15.75" customHeight="1">
      <c r="I90" s="15" t="str">
        <v>Marketing</v>
      </c>
      <c r="J90" s="15"/>
      <c r="K90" s="15"/>
      <c r="L90" s="16"/>
      <c r="M90" s="15"/>
      <c r="N90" s="16"/>
    </row>
    <row r="91" spans="8:14" ht="15.75" customHeight="1">
      <c r="I91" s="11"/>
      <c r="J91" s="11"/>
      <c r="K91" s="11"/>
      <c r="L91" s="12"/>
      <c r="M91" s="11"/>
      <c r="N91" s="12"/>
    </row>
    <row r="92" spans="8:14" ht="15.75" customHeight="1">
      <c r="H92" s="6" t="s">
        <v>51</v>
      </c>
      <c r="I92" s="19" cm="1">
        <f t="array" ref="I92:N92">_xlfn.SEQUENCE(1,6,2018,1)</f>
        <v>2018</v>
      </c>
      <c r="J92" s="15">
        <v>2019</v>
      </c>
      <c r="K92" s="15">
        <v>2020</v>
      </c>
      <c r="L92" s="16">
        <v>2021</v>
      </c>
      <c r="M92" s="15">
        <v>2022</v>
      </c>
      <c r="N92" s="16">
        <v>2023</v>
      </c>
    </row>
    <row r="93" spans="8:14" ht="15.75" customHeight="1">
      <c r="I93" s="11"/>
      <c r="J93" s="11"/>
      <c r="K93" s="11"/>
      <c r="L93" s="12"/>
      <c r="M93" s="11"/>
      <c r="N93" s="12"/>
    </row>
    <row r="94" spans="8:14" ht="15.75" customHeight="1">
      <c r="H94" s="5" t="s">
        <v>52</v>
      </c>
      <c r="I94" s="11"/>
      <c r="J94" s="11"/>
      <c r="K94" s="11"/>
      <c r="L94" s="12"/>
      <c r="M94" s="11"/>
      <c r="N94" s="12"/>
    </row>
    <row r="95" spans="8:14" ht="15.75" customHeight="1">
      <c r="I95" s="11"/>
      <c r="J95" s="11"/>
      <c r="K95" s="11"/>
      <c r="L95" s="12"/>
      <c r="M95" s="11"/>
      <c r="N95" s="12"/>
    </row>
    <row r="96" spans="8:14" ht="15.75" customHeight="1">
      <c r="H96" s="6" t="s">
        <v>53</v>
      </c>
      <c r="I96" s="20" cm="1">
        <f t="array" aca="1" ref="I96:M97" ca="1">_xlfn.RANDARRAY(2,5,40000,80000,TRUE)</f>
        <v>48917</v>
      </c>
      <c r="J96" s="21">
        <f ca="1"/>
        <v>68079</v>
      </c>
      <c r="K96" s="21">
        <f ca="1"/>
        <v>73490</v>
      </c>
      <c r="L96" s="21">
        <f ca="1"/>
        <v>46970</v>
      </c>
      <c r="M96" s="21">
        <f ca="1"/>
        <v>52749</v>
      </c>
    </row>
    <row r="97" spans="9:13" ht="15.75" customHeight="1">
      <c r="I97" s="20">
        <f ca="1"/>
        <v>74206</v>
      </c>
      <c r="J97" s="21">
        <f ca="1"/>
        <v>40295</v>
      </c>
      <c r="K97" s="21">
        <f ca="1"/>
        <v>74364</v>
      </c>
      <c r="L97" s="21">
        <f ca="1"/>
        <v>45080</v>
      </c>
      <c r="M97" s="21">
        <f ca="1"/>
        <v>69002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M</dc:creator>
  <cp:lastModifiedBy>Sanjay M</cp:lastModifiedBy>
  <dcterms:created xsi:type="dcterms:W3CDTF">2026-05-01T04:29:34Z</dcterms:created>
  <dcterms:modified xsi:type="dcterms:W3CDTF">2026-05-01T04:29:56Z</dcterms:modified>
</cp:coreProperties>
</file>
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oharan\Desktop\DATA science\Excel\"/>
    </mc:Choice>
  </mc:AlternateContent>
  <xr:revisionPtr revIDLastSave="0" documentId="13_ncr:1_{CD30AFD4-2C20-4FA5-9624-88A0121F031B}" xr6:coauthVersionLast="47" xr6:coauthVersionMax="47" xr10:uidLastSave="{00000000-0000-0000-0000-000000000000}"/>
  <bookViews>
    <workbookView xWindow="-120" yWindow="-120" windowWidth="29040" windowHeight="15720" firstSheet="2" activeTab="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9" l="1" a="1"/>
  <c r="J3" i="9" s="1"/>
  <c r="I3" i="11"/>
  <c r="I3" i="6" a="1"/>
  <c r="I3" i="6" s="1"/>
  <c r="I8" i="12"/>
  <c r="I4" i="5"/>
  <c r="C9" i="4"/>
  <c r="I3" i="1"/>
  <c r="E6" i="5"/>
  <c r="E7" i="5"/>
  <c r="E8" i="5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5" i="5"/>
  <c r="E4" i="5"/>
  <c r="B4" i="5"/>
  <c r="B5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5" l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5" i="12"/>
  <c r="B6" i="12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B7" i="12" l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<sst xmlns="http://schemas.openxmlformats.org/spreadsheetml/2006/main" count="207" uniqueCount="48">
  <si>
    <t xml:space="preserve"> </t>
  </si>
  <si>
    <t>Salesperson</t>
  </si>
  <si>
    <t>ID Number</t>
  </si>
  <si>
    <t>Date</t>
  </si>
  <si>
    <t>Sale Amount</t>
  </si>
  <si>
    <t>Commission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</si>
  <si>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</si>
  <si>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</si>
  <si>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</si>
  <si>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</si>
  <si>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</si>
  <si>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</si>
  <si>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</si>
  <si>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</si>
  <si>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</si>
  <si>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</si>
  <si>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</si>
  <si>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</si>
  <si>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</si>
  <si>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</si>
  <si>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</si>
  <si>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</si>
  <si>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</si>
  <si>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</si>
  <si>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</si>
  <si>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</si>
  <si>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</si>
  <si>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</si>
  <si>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Xlookup</t>
  </si>
  <si>
    <t>Asma</t>
  </si>
  <si>
    <t>Company</t>
  </si>
  <si>
    <t>Name</t>
  </si>
  <si>
    <t>Coca-Cola Inc.</t>
  </si>
  <si>
    <t>Nike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</si>
  <si>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</si>
  <si>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</si>
  <si>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</si>
  <si>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</si>
  <si>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</si>
  <si>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</si>
  <si>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</si>
  <si>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</si>
  <si>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</si>
  <si>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</si>
  <si>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Commissions by Salesperson</t>
  </si>
  <si>
    <t>Year</t>
  </si>
  <si>
    <t>Figures in USD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</si>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</sst>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3" fillId="4" borderId="0" xfId="0" applyFont="1" applyFill="1"/>
    <xf numFmtId="164" fontId="0" fillId="0" borderId="0" xfId="0" applyNumberForma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zoomScale="99" workbookViewId="0">
      <selection activeCell="B11" sqref="B11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</cols>
  <sheetData>
    <row r="1" spans="1:9" x14ac:dyDescent="0.25">
      <c r="A1" t="s">
        <v>0</v>
      </c>
    </row>
    <row r="2" spans="1:9" x14ac:dyDescent="0.25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5</v>
      </c>
    </row>
    <row r="3" spans="1:9" x14ac:dyDescent="0.25">
      <c r="B3" t="s">
        <v>6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7</v>
      </c>
      <c r="I3" s="2">
        <f>VLOOKUP(H3, B3:F24, 5, FALSE)</f>
        <v>1239.48324</v>
      </c>
    </row>
    <row r="4" spans="1:9" x14ac:dyDescent="0.25">
      <c r="B4" t="s">
        <v>7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</row>
    <row r="5" spans="1:9" x14ac:dyDescent="0.25">
      <c r="B5" t="s">
        <v>8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</row>
    <row r="6" spans="1:9" x14ac:dyDescent="0.25">
      <c r="B6" t="s">
        <v>9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25">
      <c r="B7" t="s">
        <v>10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25">
      <c r="B8" t="s">
        <v>11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25">
      <c r="B9" t="s">
        <v>12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25">
      <c r="B10" t="s">
        <v>13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25">
      <c r="B11" t="s">
        <v>14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25">
      <c r="B12" t="s">
        <v>15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25">
      <c r="B13" t="s">
        <v>16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25">
      <c r="B14" t="s">
        <v>17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25">
      <c r="B15" t="s">
        <v>18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25">
      <c r="B16" t="s">
        <v>19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25">
      <c r="B17" t="s">
        <v>20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25">
      <c r="B18" t="s">
        <v>21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25">
      <c r="B19" t="s">
        <v>22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25">
      <c r="B20" t="s">
        <v>23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25">
      <c r="B21" t="s">
        <v>24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25">
      <c r="B22" t="s">
        <v>25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25">
      <c r="B23" t="s">
        <v>26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25">
      <c r="B24" t="s">
        <v>27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25">
      <c r="D25" s="3"/>
    </row>
    <row r="26" spans="2:6" x14ac:dyDescent="0.25">
      <c r="D26" s="3"/>
    </row>
    <row r="27" spans="2:6" x14ac:dyDescent="0.25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E14" sqref="E14"/>
    </sheetView>
  </sheetViews>
  <sheetFormatPr defaultColWidth="10.625" defaultRowHeight="15.75" x14ac:dyDescent="0.25"/>
  <cols>
    <col min="2" max="2" width="11.625" bestFit="1" customWidth="1"/>
  </cols>
  <sheetData>
    <row r="2" spans="2:24" x14ac:dyDescent="0.25">
      <c r="B2" s="9" t="s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</row>
    <row r="3" spans="2:24" x14ac:dyDescent="0.25">
      <c r="B3" s="9" t="s">
        <v>2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25">
      <c r="B4" s="9" t="s">
        <v>3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25">
      <c r="B5" s="9" t="s">
        <v>4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25">
      <c r="B6" s="9" t="s">
        <v>5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25">
      <c r="B8" s="9" t="s">
        <v>1</v>
      </c>
      <c r="C8" s="9" t="s">
        <v>5</v>
      </c>
    </row>
    <row r="9" spans="2:24" x14ac:dyDescent="0.25">
      <c r="B9" t="s">
        <v>7</v>
      </c>
      <c r="C9" s="2">
        <f>HLOOKUP(B9, C2:X6, 5, FALSE)</f>
        <v>1239.48324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workbookViewId="0">
      <selection activeCell="I5" sqref="I5"/>
    </sheetView>
  </sheetViews>
  <sheetFormatPr defaultColWidth="10.625" defaultRowHeight="15.75" x14ac:dyDescent="0.2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8" max="8" width="14.5" customWidth="1"/>
    <col min="9" max="9" width="12.375" bestFit="1" customWidth="1"/>
    <col min="10" max="10" width="8.125" customWidth="1"/>
  </cols>
  <sheetData>
    <row r="1" spans="1:9" x14ac:dyDescent="0.25">
      <c r="A1" t="s">
        <v>0</v>
      </c>
    </row>
    <row r="2" spans="1:9" ht="15.6" customHeight="1" x14ac:dyDescent="0.25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16" t="s">
        <v>28</v>
      </c>
      <c r="I2" s="16"/>
    </row>
    <row r="3" spans="1:9" x14ac:dyDescent="0.25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5" t="s">
        <v>1</v>
      </c>
      <c r="I3" s="5" t="s">
        <v>5</v>
      </c>
    </row>
    <row r="4" spans="1:9" x14ac:dyDescent="0.25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H4" t="s">
        <v>18</v>
      </c>
      <c r="I4" s="2">
        <f>_xlfn.XLOOKUP(H4, F3:F24, E3:E24)</f>
        <v>866.77111900170041</v>
      </c>
    </row>
    <row r="5" spans="1:9" x14ac:dyDescent="0.25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ht="15.6" customHeight="1" x14ac:dyDescent="0.25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17"/>
      <c r="I6" s="17"/>
    </row>
    <row r="7" spans="1:9" x14ac:dyDescent="0.25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14"/>
      <c r="I7" s="14"/>
    </row>
    <row r="8" spans="1:9" x14ac:dyDescent="0.25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I8" s="2"/>
    </row>
    <row r="9" spans="1:9" x14ac:dyDescent="0.25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25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25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25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25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25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25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25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25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25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25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25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25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25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25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25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25">
      <c r="C25" s="3"/>
    </row>
    <row r="26" spans="2:6" x14ac:dyDescent="0.25">
      <c r="C26" s="3"/>
    </row>
    <row r="27" spans="2:6" x14ac:dyDescent="0.25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I9" sqref="I9"/>
    </sheetView>
  </sheetViews>
  <sheetFormatPr defaultColWidth="10.625" defaultRowHeight="15.75" x14ac:dyDescent="0.2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8" max="8" width="12.25" bestFit="1" customWidth="1"/>
    <col min="9" max="9" width="17.625" bestFit="1" customWidth="1"/>
    <col min="10" max="10" width="8.125" customWidth="1"/>
  </cols>
  <sheetData>
    <row r="1" spans="1:9" x14ac:dyDescent="0.25">
      <c r="A1" t="s">
        <v>0</v>
      </c>
    </row>
    <row r="2" spans="1:9" x14ac:dyDescent="0.25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17"/>
      <c r="I2" s="17"/>
    </row>
    <row r="3" spans="1:9" x14ac:dyDescent="0.25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14"/>
      <c r="I3" s="14"/>
    </row>
    <row r="4" spans="1:9" x14ac:dyDescent="0.25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I4" s="2"/>
    </row>
    <row r="5" spans="1:9" x14ac:dyDescent="0.25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x14ac:dyDescent="0.25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16" t="s">
        <v>28</v>
      </c>
      <c r="I6" s="16"/>
    </row>
    <row r="7" spans="1:9" x14ac:dyDescent="0.25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5" t="s">
        <v>1</v>
      </c>
      <c r="I7" s="5" t="s">
        <v>5</v>
      </c>
    </row>
    <row r="8" spans="1:9" x14ac:dyDescent="0.25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H8" t="s">
        <v>29</v>
      </c>
      <c r="I8" s="2" t="str">
        <f>_xlfn.XLOOKUP(H8, F3:F24, E3:E24, "Not found in the list")</f>
        <v>Not found in the list</v>
      </c>
    </row>
    <row r="9" spans="1:9" x14ac:dyDescent="0.25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25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25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25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25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25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25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25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25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25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25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25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25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25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25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25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25">
      <c r="C25" s="3"/>
    </row>
    <row r="26" spans="2:6" x14ac:dyDescent="0.25">
      <c r="C26" s="3"/>
    </row>
    <row r="27" spans="2:6" x14ac:dyDescent="0.25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topLeftCell="B1" workbookViewId="0">
      <selection activeCell="H3" sqref="H3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8" max="8" width="11.875" bestFit="1" customWidth="1"/>
    <col min="9" max="9" width="12.375" bestFit="1" customWidth="1"/>
    <col min="10" max="10" width="11.125" bestFit="1" customWidth="1"/>
  </cols>
  <sheetData>
    <row r="1" spans="1:10" x14ac:dyDescent="0.25">
      <c r="A1" t="s">
        <v>0</v>
      </c>
    </row>
    <row r="2" spans="1:10" x14ac:dyDescent="0.25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4</v>
      </c>
      <c r="J2" s="8" t="s">
        <v>5</v>
      </c>
    </row>
    <row r="3" spans="1:10" x14ac:dyDescent="0.25">
      <c r="B3" t="s">
        <v>6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18</v>
      </c>
      <c r="I3" s="10" cm="1">
        <f t="array" ref="I3:J3">_xlfn.XLOOKUP(H3,B3:B24,E3:F24,"not found",0,1)</f>
        <v>4333.855595008502</v>
      </c>
      <c r="J3" s="2">
        <v>866.77111900170041</v>
      </c>
    </row>
    <row r="4" spans="1:10" x14ac:dyDescent="0.25">
      <c r="B4" t="s">
        <v>7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25">
      <c r="B5" t="s">
        <v>8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25">
      <c r="B6" t="s">
        <v>9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25">
      <c r="B7" t="s">
        <v>10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25">
      <c r="B8" t="s">
        <v>11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25">
      <c r="B9" t="s">
        <v>12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25">
      <c r="B10" t="s">
        <v>13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25">
      <c r="B11" t="s">
        <v>14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25">
      <c r="B12" t="s">
        <v>15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25">
      <c r="B13" t="s">
        <v>16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25">
      <c r="B14" t="s">
        <v>17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25">
      <c r="B15" t="s">
        <v>18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25">
      <c r="B16" t="s">
        <v>19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25">
      <c r="B17" t="s">
        <v>20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25">
      <c r="B18" t="s">
        <v>21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25">
      <c r="B19" t="s">
        <v>22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25">
      <c r="B20" t="s">
        <v>23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25">
      <c r="B21" t="s">
        <v>24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25">
      <c r="B22" t="s">
        <v>25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25">
      <c r="B23" t="s">
        <v>26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25">
      <c r="B24" t="s">
        <v>27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25">
      <c r="D25" s="3"/>
    </row>
    <row r="26" spans="2:6" x14ac:dyDescent="0.25">
      <c r="D26" s="3"/>
    </row>
    <row r="27" spans="2:6" x14ac:dyDescent="0.25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I3" sqref="I3"/>
    </sheetView>
  </sheetViews>
  <sheetFormatPr defaultColWidth="10.625" defaultRowHeight="15.75" x14ac:dyDescent="0.25"/>
  <cols>
    <col min="2" max="2" width="17.125" customWidth="1"/>
    <col min="5" max="5" width="11.625" bestFit="1" customWidth="1"/>
    <col min="6" max="6" width="11.125" bestFit="1" customWidth="1"/>
    <col min="7" max="7" width="6.875" customWidth="1"/>
    <col min="9" max="9" width="16.5" bestFit="1" customWidth="1"/>
  </cols>
  <sheetData>
    <row r="1" spans="1:9" x14ac:dyDescent="0.25">
      <c r="A1" t="s">
        <v>0</v>
      </c>
    </row>
    <row r="2" spans="1:9" x14ac:dyDescent="0.25">
      <c r="B2" s="8" t="s">
        <v>30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31</v>
      </c>
      <c r="I2" s="8" t="s">
        <v>4</v>
      </c>
    </row>
    <row r="3" spans="1:9" x14ac:dyDescent="0.25">
      <c r="B3" s="11" t="s">
        <v>32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47</v>
      </c>
      <c r="I3" s="10">
        <f>_xlfn.XLOOKUP(H3&amp;"*",B3:B14,E3:E14,"not found",2,1)</f>
        <v>8054.1620935199981</v>
      </c>
    </row>
    <row r="4" spans="1:9" x14ac:dyDescent="0.25">
      <c r="B4" s="11" t="s">
        <v>33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25">
      <c r="B5" s="11" t="s">
        <v>34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25">
      <c r="B6" s="11" t="s">
        <v>35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25">
      <c r="B7" s="11" t="s">
        <v>36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25">
      <c r="B8" s="11" t="s">
        <v>37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25">
      <c r="B9" s="11" t="s">
        <v>38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25">
      <c r="B10" s="11" t="s">
        <v>39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25">
      <c r="B11" s="11" t="s">
        <v>40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25">
      <c r="B12" s="11" t="s">
        <v>41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25">
      <c r="B13" s="11" t="s">
        <v>42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25">
      <c r="B14" s="11" t="s">
        <v>43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25">
      <c r="B15" s="11"/>
      <c r="C15" s="10"/>
      <c r="D15" s="10"/>
      <c r="E15" s="10"/>
      <c r="F15" s="10"/>
    </row>
    <row r="16" spans="1:9" x14ac:dyDescent="0.25">
      <c r="B16" s="11"/>
      <c r="C16" s="10"/>
      <c r="D16" s="10"/>
      <c r="E16" s="10"/>
      <c r="F16" s="10"/>
    </row>
    <row r="17" spans="2:6" x14ac:dyDescent="0.25">
      <c r="B17" s="11"/>
      <c r="C17" s="10"/>
      <c r="D17" s="10"/>
      <c r="E17" s="10"/>
      <c r="F17" s="10"/>
    </row>
    <row r="18" spans="2:6" x14ac:dyDescent="0.25">
      <c r="B18" s="11"/>
      <c r="C18" s="10"/>
      <c r="D18" s="10"/>
      <c r="E18" s="10"/>
      <c r="F18" s="10"/>
    </row>
    <row r="19" spans="2:6" x14ac:dyDescent="0.25">
      <c r="B19" s="11"/>
      <c r="C19" s="10"/>
      <c r="D19" s="10"/>
      <c r="E19" s="10"/>
      <c r="F19" s="10"/>
    </row>
    <row r="20" spans="2:6" x14ac:dyDescent="0.25">
      <c r="B20" s="11"/>
      <c r="C20" s="10"/>
      <c r="D20" s="10"/>
      <c r="E20" s="10"/>
      <c r="F20" s="10"/>
    </row>
    <row r="21" spans="2:6" x14ac:dyDescent="0.25">
      <c r="B21" s="11"/>
      <c r="C21" s="10"/>
      <c r="D21" s="10"/>
      <c r="E21" s="10"/>
      <c r="F21" s="10"/>
    </row>
    <row r="22" spans="2:6" x14ac:dyDescent="0.25">
      <c r="B22" s="11"/>
      <c r="C22" s="10"/>
      <c r="D22" s="10"/>
      <c r="E22" s="10"/>
      <c r="F22" s="10"/>
    </row>
    <row r="23" spans="2:6" x14ac:dyDescent="0.25">
      <c r="B23" s="11"/>
      <c r="C23" s="10"/>
      <c r="D23" s="10"/>
      <c r="E23" s="10"/>
      <c r="F23" s="10"/>
    </row>
    <row r="24" spans="2:6" x14ac:dyDescent="0.25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tabSelected="1" workbookViewId="0">
      <selection activeCell="I11" sqref="I11"/>
    </sheetView>
  </sheetViews>
  <sheetFormatPr defaultColWidth="10.625" defaultRowHeight="15.75" x14ac:dyDescent="0.2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36" bestFit="1" customWidth="1"/>
  </cols>
  <sheetData>
    <row r="1" spans="1:10" x14ac:dyDescent="0.25">
      <c r="A1" t="s">
        <v>0</v>
      </c>
    </row>
    <row r="2" spans="1:10" x14ac:dyDescent="0.25">
      <c r="B2" s="16" t="s">
        <v>44</v>
      </c>
      <c r="C2" s="16"/>
      <c r="D2" s="16"/>
      <c r="E2" s="16"/>
      <c r="F2" s="16"/>
      <c r="H2" s="8" t="s">
        <v>1</v>
      </c>
      <c r="I2" s="8" t="s">
        <v>45</v>
      </c>
      <c r="J2" s="8" t="s">
        <v>5</v>
      </c>
    </row>
    <row r="3" spans="1:10" x14ac:dyDescent="0.25">
      <c r="B3" s="12" t="s">
        <v>46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11" t="s">
        <v>10</v>
      </c>
      <c r="I3" s="4">
        <v>2022</v>
      </c>
      <c r="J3" s="15" cm="1">
        <f t="array" ref="J3">_xlfn.XLOOKUP(H3,B4:B25,_xlfn.XLOOKUP(I3,C3:F3,C4:F25))</f>
        <v>2387.3913706911258</v>
      </c>
    </row>
    <row r="4" spans="1:10" x14ac:dyDescent="0.25">
      <c r="B4" s="11" t="s">
        <v>6</v>
      </c>
      <c r="C4" s="10">
        <v>1087.2660000000001</v>
      </c>
      <c r="D4" s="10">
        <v>1250.3559</v>
      </c>
      <c r="E4" s="10">
        <v>1187.838105</v>
      </c>
      <c r="F4" s="10">
        <v>1413.52734495</v>
      </c>
    </row>
    <row r="5" spans="1:10" x14ac:dyDescent="0.25">
      <c r="B5" s="11" t="s">
        <v>7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0" x14ac:dyDescent="0.25">
      <c r="B6" s="11" t="s">
        <v>8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25">
      <c r="B7" s="11" t="s">
        <v>9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25">
      <c r="B8" s="11" t="s">
        <v>10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25">
      <c r="B9" s="11" t="s">
        <v>11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25">
      <c r="B10" s="11" t="s">
        <v>12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25">
      <c r="B11" s="11" t="s">
        <v>13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25">
      <c r="B12" s="11" t="s">
        <v>14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25">
      <c r="B13" s="11" t="s">
        <v>15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25">
      <c r="B14" s="11" t="s">
        <v>16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25">
      <c r="B15" s="11" t="s">
        <v>17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25">
      <c r="B16" s="11" t="s">
        <v>18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25">
      <c r="B17" s="11" t="s">
        <v>19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25">
      <c r="B18" s="11" t="s">
        <v>20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25">
      <c r="B19" s="11" t="s">
        <v>21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25">
      <c r="B20" s="11" t="s">
        <v>22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25">
      <c r="B21" s="11" t="s">
        <v>23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25">
      <c r="B22" s="11" t="s">
        <v>24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25">
      <c r="B23" s="11" t="s">
        <v>25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25">
      <c r="B24" s="11" t="s">
        <v>26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25">
      <c r="B25" s="11" t="s">
        <v>27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Hlookup</vt:lpstr>
      <vt:lpstr>Xlookup</vt:lpstr>
      <vt:lpstr>Xlookup 2</vt:lpstr>
      <vt:lpstr>Xlookup 3</vt:lpstr>
      <vt:lpstr>Xlookup 4</vt:lpstr>
      <vt:lpstr>Xlookup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Manoharan, Sanjaykishore</cp:lastModifiedBy>
  <cp:revision/>
  <dcterms:created xsi:type="dcterms:W3CDTF">2022-08-01T09:40:24Z</dcterms:created>
  <dcterms:modified xsi:type="dcterms:W3CDTF">2026-04-23T05:31:27Z</dcterms:modified>
  <cp:category/>
  <cp:contentStatus/>
</cp:coreProperties>
</file>
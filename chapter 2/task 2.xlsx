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chapter 2/"/>
    </mc:Choice>
  </mc:AlternateContent>
  <xr:revisionPtr revIDLastSave="93" documentId="11_F632468DF06345A1D20D2E00C797727F9198ABF3" xr6:coauthVersionLast="47" xr6:coauthVersionMax="47" xr10:uidLastSave="{7272728C-705A-4826-B2F7-D033795994F8}"/>
  <bookViews>
    <workbookView xWindow="-120" yWindow="-120" windowWidth="29040" windowHeight="17520" tabRatio="500" firstSheet="5" activeTab="7" xr2:uid="{00000000-000D-0000-FFFF-FFFF00000000}"/>
  </bookViews>
  <sheets>
    <sheet name="Arithmatic Operators - SUM" sheetId="1" r:id="rId1"/>
    <sheet name="Arithmatic Operators - MAX" sheetId="2" r:id="rId2"/>
    <sheet name="Arithmatic Operators - MIN" sheetId="3" r:id="rId3"/>
    <sheet name="Arithmatic Operators - COUNT an" sheetId="4" r:id="rId4"/>
    <sheet name="Arithmatic Operators - AVERAGE" sheetId="5" r:id="rId5"/>
    <sheet name="Conditional Operators - IF and " sheetId="6" r:id="rId6"/>
    <sheet name="Conditional - SUMIF, COUNTIF an" sheetId="7" r:id="rId7"/>
    <sheet name="Conditional Operators - SUMIFS,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36" i="8" l="1"/>
  <c r="E21" i="8"/>
  <c r="B22" i="7"/>
  <c r="I13" i="7"/>
  <c r="C9" i="7"/>
  <c r="D34" i="6"/>
  <c r="G13" i="6"/>
  <c r="G12" i="6"/>
  <c r="B10" i="5"/>
  <c r="C32" i="4"/>
  <c r="H10" i="4"/>
  <c r="B8" i="4"/>
  <c r="C26" i="3"/>
  <c r="C8" i="3"/>
  <c r="D31" i="2"/>
  <c r="C9" i="2"/>
  <c r="E16" i="1"/>
  <c r="F16" i="1"/>
  <c r="E17" i="1"/>
  <c r="E18" i="1"/>
  <c r="C9" i="1"/>
</calcChain>
</file>

<file path=xl/sharedStrings.xml><?xml version="1.0" encoding="utf-8"?>
<sst xmlns="http://schemas.openxmlformats.org/spreadsheetml/2006/main" count="217" uniqueCount="136">
  <si>
    <t>Name</t>
  </si>
  <si>
    <t>No. of Apples</t>
  </si>
  <si>
    <t>Guy</t>
  </si>
  <si>
    <t>Lev</t>
  </si>
  <si>
    <t>Yoav</t>
  </si>
  <si>
    <t>Yossi</t>
  </si>
  <si>
    <t>Dana</t>
  </si>
  <si>
    <t>Total</t>
  </si>
  <si>
    <t>&lt; - Insert formula here!</t>
  </si>
  <si>
    <t>Year</t>
  </si>
  <si>
    <t>Total 3 Years</t>
  </si>
  <si>
    <t>Revenue</t>
  </si>
  <si>
    <t>$60,001</t>
  </si>
  <si>
    <t>$74,989</t>
  </si>
  <si>
    <t>$90,272</t>
  </si>
  <si>
    <t>Expenses</t>
  </si>
  <si>
    <t>$43,505</t>
  </si>
  <si>
    <t>$55,629</t>
  </si>
  <si>
    <t>$66,556</t>
  </si>
  <si>
    <t>Income</t>
  </si>
  <si>
    <t>$16,496</t>
  </si>
  <si>
    <t>$19,360</t>
  </si>
  <si>
    <t>$23,716</t>
  </si>
  <si>
    <t>Max value</t>
  </si>
  <si>
    <t>MAX function</t>
  </si>
  <si>
    <t>Let's practice!</t>
  </si>
  <si>
    <t>What is the maximum value in the table above?</t>
  </si>
  <si>
    <t>Use MAX function to find out!</t>
  </si>
  <si>
    <t>&lt;&lt; Enter fomula here</t>
  </si>
  <si>
    <t>Min value</t>
  </si>
  <si>
    <t>Find the minimum value among the following cells:</t>
  </si>
  <si>
    <t>Output</t>
  </si>
  <si>
    <t>Minimum</t>
  </si>
  <si>
    <t>Please calculate how many items are in the table:</t>
  </si>
  <si>
    <t>Please calculate how many numeric values are in the table:</t>
  </si>
  <si>
    <t>Chili sauce</t>
  </si>
  <si>
    <t>BBQ sauce</t>
  </si>
  <si>
    <t>Two</t>
  </si>
  <si>
    <t>Vinaigrette sauce</t>
  </si>
  <si>
    <t>Wine sauce</t>
  </si>
  <si>
    <t>Four</t>
  </si>
  <si>
    <t>Mint sauce</t>
  </si>
  <si>
    <t>Steak sauce</t>
  </si>
  <si>
    <t>Six</t>
  </si>
  <si>
    <t>Count (COUNTA) :</t>
  </si>
  <si>
    <t>Seven</t>
  </si>
  <si>
    <t>Count (COUNT):</t>
  </si>
  <si>
    <t>Practice COUNT Function</t>
  </si>
  <si>
    <t>use Count formula to answer the question below</t>
  </si>
  <si>
    <t>.</t>
  </si>
  <si>
    <t>How many cells with numbers are there in the gray range</t>
  </si>
  <si>
    <t>&lt;&lt; enter your answer here</t>
  </si>
  <si>
    <t>What is the average age of the following people?</t>
  </si>
  <si>
    <t>Age</t>
  </si>
  <si>
    <t>Danny</t>
  </si>
  <si>
    <t>Becky</t>
  </si>
  <si>
    <t>John</t>
  </si>
  <si>
    <t>Paul</t>
  </si>
  <si>
    <t>Dean</t>
  </si>
  <si>
    <t>Jack</t>
  </si>
  <si>
    <t>Dina</t>
  </si>
  <si>
    <t>Averge:</t>
  </si>
  <si>
    <t xml:space="preserve">Grandpa John gives his kids Christmas gifts, but only if they are younger than 18.
</t>
  </si>
  <si>
    <t>Use IF function to check who’s eligible for Christmas gifts this year. Return “Yes” if he’s eligible, and “No” if he is not.</t>
  </si>
  <si>
    <t>Receives gift?</t>
  </si>
  <si>
    <t>Tommy</t>
  </si>
  <si>
    <t>Jim</t>
  </si>
  <si>
    <t>Check:</t>
  </si>
  <si>
    <t>Please insert formulas</t>
  </si>
  <si>
    <t>In UCLA online store, only full-time students with GPA over 4.5 get a discount otherwise they don't; 
 The system generates a random user - check if she/he gets a discount and return "Yes" for discount, else "No".</t>
  </si>
  <si>
    <t>DATA:</t>
  </si>
  <si>
    <t>User number</t>
  </si>
  <si>
    <t>Data always changes. Beware! 
 Make sure you use Cells reference (exmple =B9) and not hard-coded values.</t>
  </si>
  <si>
    <t>Full time/Part-Time</t>
  </si>
  <si>
    <t>Part-Time</t>
  </si>
  <si>
    <t>GPA</t>
  </si>
  <si>
    <t>&lt;= Insert formula here!</t>
  </si>
  <si>
    <t>Answer:</t>
  </si>
  <si>
    <t>(Solution in Row 70)</t>
  </si>
  <si>
    <t xml:space="preserve">Instructions: create a nested if formula where:						
1. Conditions:						
First condition Full-Time						
Second condition GPA Greater than 4.5						
2. Results:						
Gets a discount – return “Yes", otherwise “No"						
The following formula is a great example of how to use Nested If in this case. 						
=IF(B9="Full-Time",IF(B10&gt;4.5,"Yes","No"),"No")						
Alternatively, you could switch between the first and the second conditions:						
=IF(B10&gt;4.5,IF(B9="Full-Time","Yes","No"),"No")						
There are many other ways you could test 2 or more conditions! We believe that the two examples above are the easiest =)						</t>
  </si>
  <si>
    <t>What is the income of all rappers who like the yellow color?</t>
  </si>
  <si>
    <t>What is the average yearly income in Ohio?</t>
  </si>
  <si>
    <t>Rapper</t>
  </si>
  <si>
    <t>Favorite color</t>
  </si>
  <si>
    <t>Income (millions)</t>
  </si>
  <si>
    <t>State</t>
  </si>
  <si>
    <t>Employee Name</t>
  </si>
  <si>
    <t>Income (thousands)</t>
  </si>
  <si>
    <t>Biz Khalifa</t>
  </si>
  <si>
    <t>Black</t>
  </si>
  <si>
    <t>Minnesota</t>
  </si>
  <si>
    <t>Ice Cone</t>
  </si>
  <si>
    <t>Yellow</t>
  </si>
  <si>
    <t>Ohio</t>
  </si>
  <si>
    <t>Jake</t>
  </si>
  <si>
    <t>Snoop Catt</t>
  </si>
  <si>
    <t>New York</t>
  </si>
  <si>
    <t>Jill</t>
  </si>
  <si>
    <t>Cardi C</t>
  </si>
  <si>
    <t>Dilip</t>
  </si>
  <si>
    <t>Ray Z</t>
  </si>
  <si>
    <t>3Pac</t>
  </si>
  <si>
    <t>Texas</t>
  </si>
  <si>
    <t>Kumar</t>
  </si>
  <si>
    <t>Sum:</t>
  </si>
  <si>
    <t>California</t>
  </si>
  <si>
    <t>Jose</t>
  </si>
  <si>
    <t>Muhammad</t>
  </si>
  <si>
    <t>Elise</t>
  </si>
  <si>
    <t>Average income:</t>
  </si>
  <si>
    <t>&lt;= Insert formula here</t>
  </si>
  <si>
    <t>How many rappers like the color yellow?</t>
  </si>
  <si>
    <t>Count:</t>
  </si>
  <si>
    <t>SUMIFS function allows us to sum values that meet more than one criteria. Contrary to SUMIF (without S in the end) – The sum range and criteria range must be separated.</t>
  </si>
  <si>
    <t>The following table details the revenue by bank account number</t>
  </si>
  <si>
    <t>Calculate the total revenue from "Gold" accounts in the State of NY</t>
  </si>
  <si>
    <t>Account #</t>
  </si>
  <si>
    <t>Type</t>
  </si>
  <si>
    <t>Gold</t>
  </si>
  <si>
    <t>NY</t>
  </si>
  <si>
    <t>Silver</t>
  </si>
  <si>
    <t>PA</t>
  </si>
  <si>
    <t>NJ</t>
  </si>
  <si>
    <t>Bronze</t>
  </si>
  <si>
    <t>MA</t>
  </si>
  <si>
    <t>COUNTIFS function allows us to check multiple criteria within multiple columns, and to count the number of occurrences where all criteria were met.</t>
  </si>
  <si>
    <t>Use COUNTIFS to calculate the number of boys over the age of 13</t>
  </si>
  <si>
    <t>Boy/Girl</t>
  </si>
  <si>
    <t>Alex</t>
  </si>
  <si>
    <t>Boy</t>
  </si>
  <si>
    <t>Gabby</t>
  </si>
  <si>
    <t>Girl</t>
  </si>
  <si>
    <t>Kris</t>
  </si>
  <si>
    <t>Taylor</t>
  </si>
  <si>
    <t>Vic</t>
  </si>
  <si>
    <t>&lt;- Insert formula here!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</si>
</sst>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7" formatCode="[$$-C09]#,##0.00;[Red]\-[$$-C09]#,##0.00"/>
    <numFmt numFmtId="168" formatCode="[$$-C09]#,##0.00"/>
  </numFmts>
  <fonts count="16" x14ac:knownFonts="1">
    <font>
      <sz val="11"/>
      <color rgb="FF000000"/>
      <name val="Calibri"/>
      <charset val="1"/>
    </font>
    <font>
      <sz val="10"/>
      <name val="Arial"/>
    </font>
    <font>
      <sz val="14"/>
      <color rgb="FF000000"/>
      <name val="Calibri"/>
      <charset val="1"/>
    </font>
    <font>
      <sz val="8"/>
      <color rgb="FF000000"/>
      <name val="Calibri"/>
      <charset val="1"/>
    </font>
    <font>
      <b/>
      <sz val="11"/>
      <color rgb="FF000000"/>
      <name val="Calibri"/>
      <charset val="1"/>
    </font>
    <font>
      <b/>
      <u/>
      <sz val="11"/>
      <color rgb="FF000000"/>
      <name val="Calibri"/>
      <charset val="1"/>
    </font>
    <font>
      <sz val="11"/>
      <color rgb="FFFF0000"/>
      <name val="Calibri"/>
      <charset val="1"/>
    </font>
    <font>
      <b/>
      <sz val="14"/>
      <color rgb="FF000000"/>
      <name val="Calibri"/>
      <charset val="1"/>
    </font>
    <font>
      <u/>
      <sz val="11"/>
      <color rgb="FF0000FF"/>
      <name val="Calibri"/>
      <charset val="1"/>
    </font>
    <font>
      <sz val="16"/>
      <color rgb="FF000000"/>
      <name val="Calibri"/>
      <charset val="1"/>
    </font>
    <font>
      <b/>
      <sz val="12"/>
      <color rgb="FF000000"/>
      <name val="Calibri"/>
      <charset val="1"/>
    </font>
    <font>
      <sz val="12"/>
      <color rgb="FF000000"/>
      <name val="Calibri"/>
      <charset val="1"/>
    </font>
    <font>
      <sz val="14"/>
      <color rgb="FF333333"/>
      <name val="Calibri"/>
      <charset val="1"/>
    </font>
    <font>
      <u/>
      <sz val="14"/>
      <color rgb="FF3A3A3A"/>
      <name val="Cambria"/>
      <charset val="1"/>
    </font>
    <font>
      <sz val="14"/>
      <color rgb="FF3A3A3A"/>
      <name val="Arial"/>
      <charset val="1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C9DAF8"/>
        <bgColor rgb="FFE7E6E6"/>
      </patternFill>
    </fill>
    <fill>
      <patternFill patternType="solid">
        <fgColor rgb="FFFFFFFF"/>
        <bgColor rgb="FFF2F2F2"/>
      </patternFill>
    </fill>
    <fill>
      <patternFill patternType="solid">
        <fgColor rgb="FFFFC000"/>
        <bgColor rgb="FFFF9900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90">
    <xf numFmtId="0" fontId="0" fillId="0" borderId="0" xfId="0"/>
    <xf numFmtId="0" fontId="4" fillId="0" borderId="0" xfId="0" applyFont="1" applyAlignment="1">
      <alignment horizontal="center"/>
    </xf>
    <xf numFmtId="0" fontId="4" fillId="8" borderId="5" xfId="0" applyFont="1" applyFill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6" borderId="11" xfId="0" applyFont="1" applyFill="1" applyBorder="1"/>
    <xf numFmtId="0" fontId="9" fillId="6" borderId="10" xfId="0" applyFont="1" applyFill="1" applyBorder="1" applyAlignment="1">
      <alignment wrapText="1"/>
    </xf>
    <xf numFmtId="0" fontId="4" fillId="0" borderId="0" xfId="0" applyFont="1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2" borderId="5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2" fillId="3" borderId="5" xfId="0" applyFont="1" applyFill="1" applyBorder="1" applyAlignment="1">
      <alignment horizontal="left"/>
    </xf>
    <xf numFmtId="0" fontId="2" fillId="0" borderId="7" xfId="0" applyFont="1" applyBorder="1"/>
    <xf numFmtId="0" fontId="2" fillId="0" borderId="8" xfId="0" applyFont="1" applyBorder="1"/>
    <xf numFmtId="0" fontId="0" fillId="0" borderId="9" xfId="0" applyBorder="1"/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3" borderId="5" xfId="0" applyFill="1" applyBorder="1"/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4" borderId="6" xfId="0" applyFill="1" applyBorder="1" applyAlignment="1">
      <alignment horizontal="right"/>
    </xf>
    <xf numFmtId="0" fontId="0" fillId="4" borderId="7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4" borderId="9" xfId="0" applyFill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2" fillId="0" borderId="0" xfId="0" applyFont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4" fillId="3" borderId="5" xfId="0" applyFont="1" applyFill="1" applyBorder="1"/>
    <xf numFmtId="0" fontId="8" fillId="0" borderId="0" xfId="0" applyFont="1"/>
    <xf numFmtId="0" fontId="0" fillId="3" borderId="0" xfId="0" applyFill="1"/>
    <xf numFmtId="0" fontId="0" fillId="6" borderId="4" xfId="0" applyFill="1" applyBorder="1"/>
    <xf numFmtId="0" fontId="0" fillId="6" borderId="0" xfId="0" applyFill="1"/>
    <xf numFmtId="0" fontId="0" fillId="6" borderId="6" xfId="0" applyFill="1" applyBorder="1"/>
    <xf numFmtId="0" fontId="4" fillId="0" borderId="1" xfId="0" applyFont="1" applyBorder="1"/>
    <xf numFmtId="0" fontId="10" fillId="0" borderId="2" xfId="0" applyFont="1" applyBorder="1"/>
    <xf numFmtId="0" fontId="11" fillId="0" borderId="2" xfId="0" applyFont="1" applyBorder="1"/>
    <xf numFmtId="0" fontId="0" fillId="0" borderId="4" xfId="0" applyBorder="1"/>
    <xf numFmtId="0" fontId="0" fillId="0" borderId="6" xfId="0" applyBorder="1"/>
    <xf numFmtId="0" fontId="0" fillId="3" borderId="5" xfId="0" applyFill="1" applyBorder="1" applyAlignment="1">
      <alignment horizontal="right"/>
    </xf>
    <xf numFmtId="0" fontId="4" fillId="0" borderId="4" xfId="0" applyFont="1" applyBorder="1"/>
    <xf numFmtId="0" fontId="0" fillId="0" borderId="7" xfId="0" applyBorder="1"/>
    <xf numFmtId="0" fontId="0" fillId="0" borderId="8" xfId="0" applyBorder="1"/>
    <xf numFmtId="0" fontId="0" fillId="7" borderId="5" xfId="0" applyFill="1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/>
    <xf numFmtId="0" fontId="4" fillId="3" borderId="0" xfId="0" applyFont="1" applyFill="1"/>
    <xf numFmtId="0" fontId="0" fillId="0" borderId="0" xfId="0" applyAlignment="1">
      <alignment wrapText="1"/>
    </xf>
    <xf numFmtId="0" fontId="12" fillId="7" borderId="0" xfId="0" applyFont="1" applyFill="1"/>
    <xf numFmtId="0" fontId="13" fillId="7" borderId="0" xfId="0" applyFont="1" applyFill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14" fillId="7" borderId="0" xfId="0" applyFont="1" applyFill="1"/>
    <xf numFmtId="0" fontId="0" fillId="0" borderId="0" xfId="0" applyNumberFormat="1" applyAlignment="1">
      <alignment horizontal="right"/>
    </xf>
    <xf numFmtId="0" fontId="1" fillId="0" borderId="0" xfId="1" applyNumberForma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167" fontId="1" fillId="0" borderId="0" xfId="1" applyNumberFormat="1" applyAlignment="1">
      <alignment horizontal="right"/>
    </xf>
    <xf numFmtId="168" fontId="0" fillId="0" borderId="0" xfId="0" applyNumberFormat="1" applyAlignment="1">
      <alignment horizontal="right"/>
    </xf>
    <xf numFmtId="0" fontId="15" fillId="0" borderId="4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A3A3A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-practice-online.com/functions/sumif-fun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0"/>
  <sheetViews>
    <sheetView zoomScaleNormal="100" workbookViewId="0">
      <selection activeCell="E15" sqref="E15"/>
    </sheetView>
  </sheetViews>
  <sheetFormatPr defaultColWidth="14.42578125" defaultRowHeight="15" x14ac:dyDescent="0.25"/>
  <cols>
    <col min="3" max="3" width="18.140625" customWidth="1"/>
  </cols>
  <sheetData>
    <row r="2" spans="1:6" x14ac:dyDescent="0.25">
      <c r="A2" s="8"/>
      <c r="B2" s="9"/>
      <c r="C2" s="9"/>
      <c r="D2" s="9"/>
      <c r="E2" s="9"/>
      <c r="F2" s="10"/>
    </row>
    <row r="3" spans="1:6" ht="18.75" x14ac:dyDescent="0.3">
      <c r="A3" s="11"/>
      <c r="B3" s="12" t="s">
        <v>0</v>
      </c>
      <c r="C3" s="12" t="s">
        <v>1</v>
      </c>
      <c r="D3" s="13"/>
      <c r="E3" s="13"/>
      <c r="F3" s="14"/>
    </row>
    <row r="4" spans="1:6" ht="18.75" x14ac:dyDescent="0.3">
      <c r="A4" s="11"/>
      <c r="B4" s="13" t="s">
        <v>2</v>
      </c>
      <c r="C4" s="15">
        <v>3</v>
      </c>
      <c r="D4" s="13"/>
      <c r="E4" s="13"/>
      <c r="F4" s="14"/>
    </row>
    <row r="5" spans="1:6" ht="18.75" x14ac:dyDescent="0.3">
      <c r="A5" s="11"/>
      <c r="B5" s="13" t="s">
        <v>3</v>
      </c>
      <c r="C5" s="15">
        <v>5</v>
      </c>
      <c r="D5" s="13"/>
      <c r="E5" s="13"/>
      <c r="F5" s="14"/>
    </row>
    <row r="6" spans="1:6" ht="18.75" x14ac:dyDescent="0.3">
      <c r="A6" s="11"/>
      <c r="B6" s="13" t="s">
        <v>4</v>
      </c>
      <c r="C6" s="15">
        <v>2</v>
      </c>
      <c r="D6" s="13"/>
      <c r="E6" s="13"/>
      <c r="F6" s="14"/>
    </row>
    <row r="7" spans="1:6" ht="18.75" x14ac:dyDescent="0.3">
      <c r="A7" s="11"/>
      <c r="B7" s="13" t="s">
        <v>5</v>
      </c>
      <c r="C7" s="15">
        <v>6</v>
      </c>
      <c r="D7" s="13"/>
      <c r="E7" s="13"/>
      <c r="F7" s="14"/>
    </row>
    <row r="8" spans="1:6" ht="18.75" x14ac:dyDescent="0.3">
      <c r="A8" s="11"/>
      <c r="B8" s="13" t="s">
        <v>6</v>
      </c>
      <c r="C8" s="15">
        <v>8</v>
      </c>
      <c r="D8" s="13"/>
      <c r="E8" s="13"/>
      <c r="F8" s="14"/>
    </row>
    <row r="9" spans="1:6" ht="18.75" x14ac:dyDescent="0.3">
      <c r="A9" s="11"/>
      <c r="B9" s="13" t="s">
        <v>7</v>
      </c>
      <c r="C9" s="16">
        <f>SUM(C4:C8)</f>
        <v>24</v>
      </c>
      <c r="D9" s="13" t="s">
        <v>8</v>
      </c>
      <c r="E9" s="13"/>
      <c r="F9" s="14"/>
    </row>
    <row r="10" spans="1:6" ht="18.75" x14ac:dyDescent="0.3">
      <c r="A10" s="17"/>
      <c r="B10" s="18"/>
      <c r="C10" s="18"/>
      <c r="D10" s="18"/>
      <c r="E10" s="18"/>
      <c r="F10" s="19"/>
    </row>
    <row r="15" spans="1:6" x14ac:dyDescent="0.25">
      <c r="A15" s="20" t="s">
        <v>9</v>
      </c>
      <c r="B15" s="21">
        <v>2016</v>
      </c>
      <c r="C15" s="21">
        <v>2017</v>
      </c>
      <c r="D15" s="21">
        <v>2018</v>
      </c>
      <c r="E15" s="20" t="s">
        <v>10</v>
      </c>
    </row>
    <row r="16" spans="1:6" x14ac:dyDescent="0.25">
      <c r="A16" s="20" t="s">
        <v>11</v>
      </c>
      <c r="B16" s="88" t="s">
        <v>12</v>
      </c>
      <c r="C16" s="88" t="s">
        <v>13</v>
      </c>
      <c r="D16" s="88" t="s">
        <v>14</v>
      </c>
      <c r="E16" s="87">
        <f>SUM(B16:D16)</f>
        <v>0</v>
      </c>
      <c r="F16" s="83">
        <f>SUM(B16:D16)</f>
        <v>0</v>
      </c>
    </row>
    <row r="17" spans="1:12" x14ac:dyDescent="0.25">
      <c r="A17" s="20" t="s">
        <v>15</v>
      </c>
      <c r="B17" s="88" t="s">
        <v>16</v>
      </c>
      <c r="C17" s="88" t="s">
        <v>17</v>
      </c>
      <c r="D17" s="88" t="s">
        <v>18</v>
      </c>
      <c r="E17" s="84">
        <f t="shared" ref="E17:E18" si="0">SUM(B17:D17)</f>
        <v>0</v>
      </c>
    </row>
    <row r="18" spans="1:12" x14ac:dyDescent="0.25">
      <c r="A18" s="20" t="s">
        <v>19</v>
      </c>
      <c r="B18" s="88" t="s">
        <v>20</v>
      </c>
      <c r="C18" s="88" t="s">
        <v>21</v>
      </c>
      <c r="D18" s="88" t="s">
        <v>22</v>
      </c>
      <c r="E18" s="84">
        <f t="shared" si="0"/>
        <v>0</v>
      </c>
    </row>
    <row r="28" spans="1:12" x14ac:dyDescent="0.25">
      <c r="I28" s="85"/>
      <c r="J28" s="85"/>
      <c r="K28" s="85"/>
      <c r="L28" s="86"/>
    </row>
    <row r="29" spans="1:12" x14ac:dyDescent="0.25">
      <c r="I29" s="85"/>
      <c r="J29" s="85"/>
      <c r="K29" s="85"/>
      <c r="L29" s="86"/>
    </row>
    <row r="30" spans="1:12" x14ac:dyDescent="0.25">
      <c r="I30" s="85"/>
      <c r="J30" s="85"/>
      <c r="K30" s="85"/>
      <c r="L30" s="86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31"/>
  <sheetViews>
    <sheetView topLeftCell="A5" zoomScaleNormal="100" workbookViewId="0">
      <selection activeCell="G42" sqref="G42"/>
    </sheetView>
  </sheetViews>
  <sheetFormatPr defaultColWidth="14.42578125" defaultRowHeight="15" x14ac:dyDescent="0.25"/>
  <sheetData>
    <row r="3" spans="2:4" x14ac:dyDescent="0.25">
      <c r="B3" s="23" t="s">
        <v>0</v>
      </c>
      <c r="C3" s="23" t="s">
        <v>1</v>
      </c>
    </row>
    <row r="4" spans="2:4" x14ac:dyDescent="0.25">
      <c r="B4" s="24" t="s">
        <v>2</v>
      </c>
      <c r="C4" s="25">
        <v>3</v>
      </c>
    </row>
    <row r="5" spans="2:4" x14ac:dyDescent="0.25">
      <c r="B5" s="24" t="s">
        <v>3</v>
      </c>
      <c r="C5" s="25">
        <v>5</v>
      </c>
    </row>
    <row r="6" spans="2:4" x14ac:dyDescent="0.25">
      <c r="B6" s="24" t="s">
        <v>4</v>
      </c>
      <c r="C6" s="25">
        <v>2</v>
      </c>
    </row>
    <row r="7" spans="2:4" x14ac:dyDescent="0.25">
      <c r="B7" s="24" t="s">
        <v>5</v>
      </c>
      <c r="C7" s="25">
        <v>6</v>
      </c>
    </row>
    <row r="8" spans="2:4" x14ac:dyDescent="0.25">
      <c r="B8" s="24" t="s">
        <v>6</v>
      </c>
      <c r="C8" s="25">
        <v>8</v>
      </c>
    </row>
    <row r="9" spans="2:4" x14ac:dyDescent="0.25">
      <c r="B9" s="24" t="s">
        <v>23</v>
      </c>
      <c r="C9" s="26">
        <f>MAX(C4:C8)</f>
        <v>8</v>
      </c>
      <c r="D9" s="20" t="s">
        <v>8</v>
      </c>
    </row>
    <row r="15" spans="2:4" x14ac:dyDescent="0.25">
      <c r="C15" s="27" t="s">
        <v>24</v>
      </c>
    </row>
    <row r="16" spans="2:4" x14ac:dyDescent="0.25">
      <c r="C16" t="s">
        <v>25</v>
      </c>
    </row>
    <row r="17" spans="2:7" x14ac:dyDescent="0.25">
      <c r="B17" s="7"/>
      <c r="C17" s="7"/>
    </row>
    <row r="18" spans="2:7" x14ac:dyDescent="0.25">
      <c r="C18" s="28">
        <v>67</v>
      </c>
      <c r="D18" s="29">
        <v>78</v>
      </c>
      <c r="E18" s="29">
        <v>66</v>
      </c>
      <c r="F18" s="29">
        <v>92</v>
      </c>
      <c r="G18" s="30">
        <v>27</v>
      </c>
    </row>
    <row r="19" spans="2:7" x14ac:dyDescent="0.25">
      <c r="C19" s="31">
        <v>81</v>
      </c>
      <c r="D19" s="22">
        <v>36</v>
      </c>
      <c r="E19" s="22">
        <v>100</v>
      </c>
      <c r="F19" s="22">
        <v>85</v>
      </c>
      <c r="G19" s="32">
        <v>60</v>
      </c>
    </row>
    <row r="20" spans="2:7" x14ac:dyDescent="0.25">
      <c r="C20" s="31">
        <v>99</v>
      </c>
      <c r="D20" s="22">
        <v>78</v>
      </c>
      <c r="E20" s="22">
        <v>91</v>
      </c>
      <c r="F20" s="22">
        <v>41</v>
      </c>
      <c r="G20" s="32">
        <v>83</v>
      </c>
    </row>
    <row r="21" spans="2:7" x14ac:dyDescent="0.25">
      <c r="C21" s="31">
        <v>55</v>
      </c>
      <c r="D21" s="22">
        <v>8</v>
      </c>
      <c r="E21" s="22">
        <v>12</v>
      </c>
      <c r="F21" s="22">
        <v>8</v>
      </c>
      <c r="G21" s="32">
        <v>16</v>
      </c>
    </row>
    <row r="22" spans="2:7" x14ac:dyDescent="0.25">
      <c r="C22" s="31">
        <v>21</v>
      </c>
      <c r="D22" s="22">
        <v>52</v>
      </c>
      <c r="E22" s="22">
        <v>22</v>
      </c>
      <c r="F22" s="22">
        <v>58</v>
      </c>
      <c r="G22" s="32">
        <v>13</v>
      </c>
    </row>
    <row r="23" spans="2:7" x14ac:dyDescent="0.25">
      <c r="C23" s="31">
        <v>84</v>
      </c>
      <c r="D23" s="22">
        <v>32</v>
      </c>
      <c r="E23" s="22">
        <v>8</v>
      </c>
      <c r="F23" s="22">
        <v>30</v>
      </c>
      <c r="G23" s="32">
        <v>12</v>
      </c>
    </row>
    <row r="24" spans="2:7" x14ac:dyDescent="0.25">
      <c r="C24" s="31">
        <v>76</v>
      </c>
      <c r="D24" s="22">
        <v>97</v>
      </c>
      <c r="E24" s="22">
        <v>96</v>
      </c>
      <c r="F24" s="22">
        <v>81</v>
      </c>
      <c r="G24" s="32">
        <v>14</v>
      </c>
    </row>
    <row r="25" spans="2:7" x14ac:dyDescent="0.25">
      <c r="C25" s="31">
        <v>42</v>
      </c>
      <c r="D25" s="22">
        <v>38</v>
      </c>
      <c r="E25" s="22">
        <v>66</v>
      </c>
      <c r="F25" s="22">
        <v>10</v>
      </c>
      <c r="G25" s="32">
        <v>50</v>
      </c>
    </row>
    <row r="26" spans="2:7" x14ac:dyDescent="0.25">
      <c r="C26" s="33">
        <v>28</v>
      </c>
      <c r="D26" s="34">
        <v>14</v>
      </c>
      <c r="E26" s="34">
        <v>87</v>
      </c>
      <c r="F26" s="34">
        <v>80</v>
      </c>
      <c r="G26" s="35">
        <v>24</v>
      </c>
    </row>
    <row r="27" spans="2:7" x14ac:dyDescent="0.25">
      <c r="B27" s="7"/>
      <c r="C27" s="7"/>
    </row>
    <row r="28" spans="2:7" x14ac:dyDescent="0.25">
      <c r="C28" t="s">
        <v>26</v>
      </c>
    </row>
    <row r="29" spans="2:7" x14ac:dyDescent="0.25">
      <c r="C29" t="s">
        <v>27</v>
      </c>
    </row>
    <row r="30" spans="2:7" x14ac:dyDescent="0.25">
      <c r="B30" s="7"/>
      <c r="C30" s="7"/>
    </row>
    <row r="31" spans="2:7" x14ac:dyDescent="0.25">
      <c r="B31" s="7"/>
      <c r="C31" s="7"/>
      <c r="D31">
        <f>MAX(C18:G26)</f>
        <v>100</v>
      </c>
      <c r="E31" t="s">
        <v>28</v>
      </c>
    </row>
  </sheetData>
  <mergeCells count="4">
    <mergeCell ref="B17:C17"/>
    <mergeCell ref="B27:C27"/>
    <mergeCell ref="B30:C30"/>
    <mergeCell ref="B31:C31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9"/>
  <sheetViews>
    <sheetView zoomScaleNormal="100" workbookViewId="0">
      <selection activeCell="C25" sqref="C25"/>
    </sheetView>
  </sheetViews>
  <sheetFormatPr defaultColWidth="14.42578125" defaultRowHeight="15" x14ac:dyDescent="0.25"/>
  <sheetData>
    <row r="2" spans="2:6" x14ac:dyDescent="0.25">
      <c r="B2" s="23" t="s">
        <v>0</v>
      </c>
      <c r="C2" s="23" t="s">
        <v>1</v>
      </c>
      <c r="D2" s="7"/>
      <c r="E2" s="7"/>
    </row>
    <row r="3" spans="2:6" x14ac:dyDescent="0.25">
      <c r="B3" s="24" t="s">
        <v>2</v>
      </c>
      <c r="C3" s="25">
        <v>3</v>
      </c>
      <c r="D3" s="7"/>
      <c r="E3" s="7"/>
    </row>
    <row r="4" spans="2:6" x14ac:dyDescent="0.25">
      <c r="B4" s="24" t="s">
        <v>3</v>
      </c>
      <c r="C4" s="25">
        <v>5</v>
      </c>
      <c r="D4" s="7"/>
      <c r="E4" s="7"/>
    </row>
    <row r="5" spans="2:6" x14ac:dyDescent="0.25">
      <c r="B5" s="24" t="s">
        <v>4</v>
      </c>
      <c r="C5" s="25">
        <v>2</v>
      </c>
      <c r="D5" s="7"/>
      <c r="E5" s="7"/>
    </row>
    <row r="6" spans="2:6" x14ac:dyDescent="0.25">
      <c r="B6" s="24" t="s">
        <v>5</v>
      </c>
      <c r="C6" s="25">
        <v>6</v>
      </c>
      <c r="D6" s="7"/>
      <c r="E6" s="7"/>
    </row>
    <row r="7" spans="2:6" x14ac:dyDescent="0.25">
      <c r="B7" s="24" t="s">
        <v>6</v>
      </c>
      <c r="C7" s="25">
        <v>8</v>
      </c>
      <c r="D7" s="7"/>
      <c r="E7" s="7"/>
    </row>
    <row r="8" spans="2:6" x14ac:dyDescent="0.25">
      <c r="B8" s="24" t="s">
        <v>29</v>
      </c>
      <c r="C8" s="26">
        <f>MIN(C3:C7)</f>
        <v>2</v>
      </c>
      <c r="D8" s="6" t="s">
        <v>8</v>
      </c>
      <c r="E8" s="6"/>
    </row>
    <row r="13" spans="2:6" x14ac:dyDescent="0.25">
      <c r="B13" s="20" t="s">
        <v>30</v>
      </c>
    </row>
    <row r="15" spans="2:6" x14ac:dyDescent="0.25">
      <c r="B15" s="36">
        <v>47</v>
      </c>
      <c r="C15" s="37">
        <v>115</v>
      </c>
      <c r="D15" s="37">
        <v>290</v>
      </c>
      <c r="E15" s="37">
        <v>112</v>
      </c>
      <c r="F15" s="38">
        <v>367</v>
      </c>
    </row>
    <row r="16" spans="2:6" x14ac:dyDescent="0.25">
      <c r="B16" s="39">
        <v>130</v>
      </c>
      <c r="C16" s="40">
        <v>48</v>
      </c>
      <c r="D16" s="40">
        <v>139</v>
      </c>
      <c r="E16" s="40">
        <v>352</v>
      </c>
      <c r="F16" s="41">
        <v>119</v>
      </c>
    </row>
    <row r="17" spans="2:6" x14ac:dyDescent="0.25">
      <c r="B17" s="39">
        <v>324</v>
      </c>
      <c r="C17" s="40">
        <v>219</v>
      </c>
      <c r="D17" s="40">
        <v>351</v>
      </c>
      <c r="E17" s="40">
        <v>123</v>
      </c>
      <c r="F17" s="41">
        <v>372</v>
      </c>
    </row>
    <row r="18" spans="2:6" x14ac:dyDescent="0.25">
      <c r="B18" s="39">
        <v>8</v>
      </c>
      <c r="C18" s="40">
        <v>11</v>
      </c>
      <c r="D18" s="40">
        <v>283</v>
      </c>
      <c r="E18" s="40">
        <v>248</v>
      </c>
      <c r="F18" s="41">
        <v>34</v>
      </c>
    </row>
    <row r="19" spans="2:6" x14ac:dyDescent="0.25">
      <c r="B19" s="39">
        <v>183</v>
      </c>
      <c r="C19" s="40">
        <v>373</v>
      </c>
      <c r="D19" s="40">
        <v>200</v>
      </c>
      <c r="E19" s="40">
        <v>146</v>
      </c>
      <c r="F19" s="41">
        <v>42</v>
      </c>
    </row>
    <row r="20" spans="2:6" x14ac:dyDescent="0.25">
      <c r="B20" s="39">
        <v>355</v>
      </c>
      <c r="C20" s="40">
        <v>317</v>
      </c>
      <c r="D20" s="40">
        <v>287</v>
      </c>
      <c r="E20" s="40">
        <v>94</v>
      </c>
      <c r="F20" s="41">
        <v>154</v>
      </c>
    </row>
    <row r="21" spans="2:6" x14ac:dyDescent="0.25">
      <c r="B21" s="39">
        <v>371</v>
      </c>
      <c r="C21" s="40">
        <v>190</v>
      </c>
      <c r="D21" s="40">
        <v>311</v>
      </c>
      <c r="E21" s="40">
        <v>308</v>
      </c>
      <c r="F21" s="41">
        <v>31</v>
      </c>
    </row>
    <row r="22" spans="2:6" x14ac:dyDescent="0.25">
      <c r="B22" s="39">
        <v>236</v>
      </c>
      <c r="C22" s="40">
        <v>89</v>
      </c>
      <c r="D22" s="40">
        <v>272</v>
      </c>
      <c r="E22" s="40">
        <v>197</v>
      </c>
      <c r="F22" s="41">
        <v>98</v>
      </c>
    </row>
    <row r="23" spans="2:6" x14ac:dyDescent="0.25">
      <c r="B23" s="39">
        <v>49</v>
      </c>
      <c r="C23" s="40">
        <v>97</v>
      </c>
      <c r="D23" s="40">
        <v>259</v>
      </c>
      <c r="E23" s="40">
        <v>226</v>
      </c>
      <c r="F23" s="41">
        <v>160</v>
      </c>
    </row>
    <row r="24" spans="2:6" x14ac:dyDescent="0.25">
      <c r="B24" s="42">
        <v>288</v>
      </c>
      <c r="C24" s="43">
        <v>218</v>
      </c>
      <c r="D24" s="43">
        <v>351</v>
      </c>
      <c r="E24" s="43">
        <v>60</v>
      </c>
      <c r="F24" s="44">
        <v>125</v>
      </c>
    </row>
    <row r="25" spans="2:6" x14ac:dyDescent="0.25">
      <c r="C25" s="45" t="s">
        <v>31</v>
      </c>
      <c r="D25" s="45"/>
      <c r="E25" s="45"/>
    </row>
    <row r="26" spans="2:6" x14ac:dyDescent="0.25">
      <c r="B26" s="20" t="s">
        <v>32</v>
      </c>
      <c r="C26" s="25">
        <f>MIN(B15:F24)</f>
        <v>8</v>
      </c>
    </row>
    <row r="28" spans="2:6" x14ac:dyDescent="0.25">
      <c r="C28" s="45"/>
      <c r="D28" s="45"/>
      <c r="E28" s="45"/>
      <c r="F28" s="45"/>
    </row>
    <row r="29" spans="2:6" x14ac:dyDescent="0.25">
      <c r="C29" s="45"/>
      <c r="D29" s="45"/>
      <c r="E29" s="45"/>
      <c r="F29" s="45"/>
    </row>
  </sheetData>
  <mergeCells count="7">
    <mergeCell ref="D7:E7"/>
    <mergeCell ref="D8:E8"/>
    <mergeCell ref="D2:E2"/>
    <mergeCell ref="D3:E3"/>
    <mergeCell ref="D4:E4"/>
    <mergeCell ref="D5:E5"/>
    <mergeCell ref="D6:E6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zoomScaleNormal="100" workbookViewId="0">
      <selection activeCell="E37" sqref="E37"/>
    </sheetView>
  </sheetViews>
  <sheetFormatPr defaultColWidth="14.42578125" defaultRowHeight="15" x14ac:dyDescent="0.25"/>
  <cols>
    <col min="1" max="1" width="22.7109375" customWidth="1"/>
    <col min="7" max="7" width="21.140625" customWidth="1"/>
  </cols>
  <sheetData>
    <row r="1" spans="1:10" ht="18.75" x14ac:dyDescent="0.3">
      <c r="A1" s="46" t="s">
        <v>33</v>
      </c>
      <c r="B1" s="47"/>
      <c r="C1" s="47"/>
      <c r="G1" s="46" t="s">
        <v>34</v>
      </c>
      <c r="H1" s="47"/>
      <c r="I1" s="47"/>
      <c r="J1" s="47"/>
    </row>
    <row r="2" spans="1:10" x14ac:dyDescent="0.25">
      <c r="B2" t="s">
        <v>35</v>
      </c>
      <c r="H2" s="22">
        <v>1</v>
      </c>
    </row>
    <row r="3" spans="1:10" x14ac:dyDescent="0.25">
      <c r="B3" t="s">
        <v>36</v>
      </c>
      <c r="H3" t="s">
        <v>37</v>
      </c>
    </row>
    <row r="4" spans="1:10" x14ac:dyDescent="0.25">
      <c r="B4" t="s">
        <v>38</v>
      </c>
      <c r="H4" s="22">
        <v>3</v>
      </c>
    </row>
    <row r="5" spans="1:10" x14ac:dyDescent="0.25">
      <c r="B5" t="s">
        <v>39</v>
      </c>
      <c r="H5" t="s">
        <v>40</v>
      </c>
    </row>
    <row r="6" spans="1:10" x14ac:dyDescent="0.25">
      <c r="B6" t="s">
        <v>41</v>
      </c>
      <c r="H6" s="22">
        <v>5</v>
      </c>
    </row>
    <row r="7" spans="1:10" x14ac:dyDescent="0.25">
      <c r="B7" t="s">
        <v>42</v>
      </c>
      <c r="H7" t="s">
        <v>43</v>
      </c>
    </row>
    <row r="8" spans="1:10" ht="18.75" x14ac:dyDescent="0.3">
      <c r="A8" t="s">
        <v>44</v>
      </c>
      <c r="B8" s="26">
        <f>COUNTA(B2:B7)</f>
        <v>6</v>
      </c>
      <c r="C8" s="46" t="s">
        <v>8</v>
      </c>
      <c r="H8" t="s">
        <v>45</v>
      </c>
    </row>
    <row r="9" spans="1:10" x14ac:dyDescent="0.25">
      <c r="H9" s="22">
        <v>8</v>
      </c>
    </row>
    <row r="10" spans="1:10" ht="18.75" x14ac:dyDescent="0.3">
      <c r="G10" t="s">
        <v>46</v>
      </c>
      <c r="H10" s="26">
        <f>COUNTA(H2:H7)</f>
        <v>6</v>
      </c>
      <c r="I10" s="46" t="s">
        <v>8</v>
      </c>
    </row>
    <row r="17" spans="3:8" x14ac:dyDescent="0.25">
      <c r="C17" s="27" t="s">
        <v>47</v>
      </c>
    </row>
    <row r="18" spans="3:8" x14ac:dyDescent="0.25">
      <c r="C18" t="s">
        <v>48</v>
      </c>
    </row>
    <row r="20" spans="3:8" x14ac:dyDescent="0.25">
      <c r="C20" s="48">
        <v>999</v>
      </c>
      <c r="D20" s="49" t="s">
        <v>49</v>
      </c>
      <c r="E20" s="49">
        <v>999</v>
      </c>
      <c r="F20" s="49">
        <v>999</v>
      </c>
      <c r="G20" s="49" t="s">
        <v>49</v>
      </c>
      <c r="H20" s="50">
        <v>999</v>
      </c>
    </row>
    <row r="21" spans="3:8" x14ac:dyDescent="0.25">
      <c r="C21" s="51">
        <v>999</v>
      </c>
      <c r="D21" s="52">
        <v>999</v>
      </c>
      <c r="E21" s="52">
        <v>999</v>
      </c>
      <c r="F21" s="52">
        <v>999</v>
      </c>
      <c r="G21" s="52">
        <v>999</v>
      </c>
      <c r="H21" s="53">
        <v>999</v>
      </c>
    </row>
    <row r="22" spans="3:8" x14ac:dyDescent="0.25">
      <c r="C22" s="51" t="s">
        <v>49</v>
      </c>
      <c r="D22" s="52">
        <v>999</v>
      </c>
      <c r="E22" s="52">
        <v>999</v>
      </c>
      <c r="F22" s="52">
        <v>999</v>
      </c>
      <c r="G22" s="52">
        <v>999</v>
      </c>
      <c r="H22" s="53" t="s">
        <v>49</v>
      </c>
    </row>
    <row r="23" spans="3:8" x14ac:dyDescent="0.25">
      <c r="C23" s="51">
        <v>999</v>
      </c>
      <c r="D23" s="52">
        <v>999</v>
      </c>
      <c r="E23" s="52">
        <v>999</v>
      </c>
      <c r="F23" s="52">
        <v>999</v>
      </c>
      <c r="G23" s="52">
        <v>999</v>
      </c>
      <c r="H23" s="53">
        <v>999</v>
      </c>
    </row>
    <row r="24" spans="3:8" x14ac:dyDescent="0.25">
      <c r="C24" s="51">
        <v>999</v>
      </c>
      <c r="D24" s="52">
        <v>999</v>
      </c>
      <c r="E24" s="52">
        <v>999</v>
      </c>
      <c r="F24" s="52">
        <v>999</v>
      </c>
      <c r="G24" s="52">
        <v>999</v>
      </c>
      <c r="H24" s="53">
        <v>999</v>
      </c>
    </row>
    <row r="25" spans="3:8" x14ac:dyDescent="0.25">
      <c r="C25" s="51">
        <v>999</v>
      </c>
      <c r="D25" s="52">
        <v>999</v>
      </c>
      <c r="E25" s="52">
        <v>999</v>
      </c>
      <c r="F25" s="52">
        <v>999</v>
      </c>
      <c r="G25" s="52">
        <v>999</v>
      </c>
      <c r="H25" s="53">
        <v>999</v>
      </c>
    </row>
    <row r="26" spans="3:8" x14ac:dyDescent="0.25">
      <c r="C26" s="51">
        <v>999</v>
      </c>
      <c r="D26" s="52">
        <v>999</v>
      </c>
      <c r="E26" s="52">
        <v>999</v>
      </c>
      <c r="F26" s="52">
        <v>999</v>
      </c>
      <c r="G26" s="52">
        <v>999</v>
      </c>
      <c r="H26" s="53">
        <v>999</v>
      </c>
    </row>
    <row r="27" spans="3:8" x14ac:dyDescent="0.25">
      <c r="C27" s="51" t="s">
        <v>49</v>
      </c>
      <c r="D27" s="52">
        <v>999</v>
      </c>
      <c r="E27" s="52">
        <v>999</v>
      </c>
      <c r="F27" s="52">
        <v>999</v>
      </c>
      <c r="G27" s="52">
        <v>999</v>
      </c>
      <c r="H27" s="53" t="s">
        <v>49</v>
      </c>
    </row>
    <row r="28" spans="3:8" x14ac:dyDescent="0.25">
      <c r="C28" s="51">
        <v>999</v>
      </c>
      <c r="D28" s="52">
        <v>999</v>
      </c>
      <c r="E28" s="52">
        <v>999</v>
      </c>
      <c r="F28" s="52">
        <v>999</v>
      </c>
      <c r="G28" s="52">
        <v>999</v>
      </c>
      <c r="H28" s="53">
        <v>999</v>
      </c>
    </row>
    <row r="29" spans="3:8" x14ac:dyDescent="0.25">
      <c r="C29" s="54">
        <v>999</v>
      </c>
      <c r="D29" s="55" t="s">
        <v>49</v>
      </c>
      <c r="E29" s="55">
        <v>999</v>
      </c>
      <c r="F29" s="55">
        <v>999</v>
      </c>
      <c r="G29" s="55" t="s">
        <v>49</v>
      </c>
      <c r="H29" s="56">
        <v>999</v>
      </c>
    </row>
    <row r="31" spans="3:8" x14ac:dyDescent="0.25">
      <c r="C31" s="20" t="s">
        <v>50</v>
      </c>
    </row>
    <row r="32" spans="3:8" x14ac:dyDescent="0.25">
      <c r="C32" s="57">
        <f>COUNTA(C20:H29)</f>
        <v>60</v>
      </c>
      <c r="D32" t="s">
        <v>51</v>
      </c>
      <c r="G32" s="58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Normal="100" workbookViewId="0">
      <selection activeCell="B10" sqref="B10"/>
    </sheetView>
  </sheetViews>
  <sheetFormatPr defaultColWidth="14.42578125" defaultRowHeight="15" x14ac:dyDescent="0.25"/>
  <sheetData>
    <row r="1" spans="1:3" x14ac:dyDescent="0.25">
      <c r="A1" s="20" t="s">
        <v>52</v>
      </c>
    </row>
    <row r="2" spans="1:3" x14ac:dyDescent="0.25">
      <c r="A2" s="20" t="s">
        <v>0</v>
      </c>
      <c r="B2" s="20" t="s">
        <v>53</v>
      </c>
    </row>
    <row r="3" spans="1:3" x14ac:dyDescent="0.25">
      <c r="A3" t="s">
        <v>54</v>
      </c>
      <c r="B3" s="22">
        <v>20</v>
      </c>
    </row>
    <row r="4" spans="1:3" x14ac:dyDescent="0.25">
      <c r="A4" t="s">
        <v>55</v>
      </c>
      <c r="B4" s="22">
        <v>16</v>
      </c>
    </row>
    <row r="5" spans="1:3" x14ac:dyDescent="0.25">
      <c r="A5" t="s">
        <v>56</v>
      </c>
      <c r="B5" s="22">
        <v>19</v>
      </c>
    </row>
    <row r="6" spans="1:3" x14ac:dyDescent="0.25">
      <c r="A6" t="s">
        <v>57</v>
      </c>
      <c r="B6" s="22">
        <v>3</v>
      </c>
    </row>
    <row r="7" spans="1:3" x14ac:dyDescent="0.25">
      <c r="A7" t="s">
        <v>58</v>
      </c>
      <c r="B7" s="22">
        <v>9</v>
      </c>
    </row>
    <row r="8" spans="1:3" x14ac:dyDescent="0.25">
      <c r="A8" t="s">
        <v>59</v>
      </c>
      <c r="B8" s="22">
        <v>7</v>
      </c>
    </row>
    <row r="9" spans="1:3" x14ac:dyDescent="0.25">
      <c r="A9" t="s">
        <v>60</v>
      </c>
      <c r="B9" s="22">
        <v>12</v>
      </c>
    </row>
    <row r="10" spans="1:3" x14ac:dyDescent="0.25">
      <c r="A10" t="s">
        <v>61</v>
      </c>
      <c r="B10" s="59">
        <f>AVERAGE(B3:B9)</f>
        <v>12.285714285714286</v>
      </c>
      <c r="C10" s="20" t="s">
        <v>8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4:J70"/>
  <sheetViews>
    <sheetView zoomScaleNormal="100" workbookViewId="0">
      <selection activeCell="D38" sqref="D38"/>
    </sheetView>
  </sheetViews>
  <sheetFormatPr defaultColWidth="14.42578125" defaultRowHeight="15" x14ac:dyDescent="0.25"/>
  <cols>
    <col min="3" max="3" width="18.5703125" customWidth="1"/>
    <col min="6" max="6" width="21" customWidth="1"/>
    <col min="7" max="7" width="32.85546875" customWidth="1"/>
    <col min="10" max="10" width="44" customWidth="1"/>
  </cols>
  <sheetData>
    <row r="4" spans="4:10" ht="15" customHeight="1" x14ac:dyDescent="0.25">
      <c r="D4" s="5" t="s">
        <v>62</v>
      </c>
      <c r="E4" s="5"/>
      <c r="F4" s="5"/>
      <c r="G4" s="5"/>
      <c r="H4" s="5"/>
      <c r="I4" s="5"/>
      <c r="J4" s="5"/>
    </row>
    <row r="5" spans="4:10" x14ac:dyDescent="0.25">
      <c r="D5" s="5"/>
      <c r="E5" s="5"/>
      <c r="F5" s="5"/>
      <c r="G5" s="5"/>
      <c r="H5" s="5"/>
      <c r="I5" s="5"/>
      <c r="J5" s="5"/>
    </row>
    <row r="6" spans="4:10" x14ac:dyDescent="0.25">
      <c r="D6" s="60"/>
      <c r="E6" s="61"/>
      <c r="F6" s="61"/>
      <c r="G6" s="61"/>
      <c r="H6" s="61"/>
      <c r="I6" s="61"/>
      <c r="J6" s="62"/>
    </row>
    <row r="7" spans="4:10" x14ac:dyDescent="0.25">
      <c r="D7" s="4" t="s">
        <v>63</v>
      </c>
      <c r="E7" s="4"/>
      <c r="F7" s="4"/>
      <c r="G7" s="4"/>
      <c r="H7" s="4"/>
      <c r="I7" s="4"/>
      <c r="J7" s="4"/>
    </row>
    <row r="8" spans="4:10" ht="1.5" customHeight="1" x14ac:dyDescent="0.25">
      <c r="D8" s="4"/>
      <c r="E8" s="4"/>
      <c r="F8" s="4"/>
      <c r="G8" s="4"/>
      <c r="H8" s="4"/>
      <c r="I8" s="4"/>
      <c r="J8" s="4"/>
    </row>
    <row r="10" spans="4:10" ht="15.75" x14ac:dyDescent="0.25">
      <c r="D10" s="63"/>
      <c r="E10" s="64"/>
      <c r="F10" s="65"/>
      <c r="G10" s="65"/>
      <c r="H10" s="9"/>
      <c r="I10" s="10"/>
    </row>
    <row r="11" spans="4:10" x14ac:dyDescent="0.25">
      <c r="D11" s="66"/>
      <c r="E11" s="20" t="s">
        <v>0</v>
      </c>
      <c r="F11" s="20" t="s">
        <v>53</v>
      </c>
      <c r="G11" s="20" t="s">
        <v>64</v>
      </c>
      <c r="I11" s="67"/>
    </row>
    <row r="12" spans="4:10" x14ac:dyDescent="0.25">
      <c r="D12" s="66"/>
      <c r="E12" t="s">
        <v>65</v>
      </c>
      <c r="F12" s="22">
        <v>12</v>
      </c>
      <c r="G12" s="68" t="str">
        <f>IF(F12&gt;18,"yes","NO")</f>
        <v>NO</v>
      </c>
      <c r="I12" s="67"/>
    </row>
    <row r="13" spans="4:10" x14ac:dyDescent="0.25">
      <c r="D13" s="66"/>
      <c r="E13" t="s">
        <v>66</v>
      </c>
      <c r="F13" s="22">
        <v>23</v>
      </c>
      <c r="G13" s="68" t="str">
        <f>IF(F13&gt;18,"yes","NO")</f>
        <v>yes</v>
      </c>
      <c r="I13" s="67"/>
    </row>
    <row r="14" spans="4:10" x14ac:dyDescent="0.25">
      <c r="D14" s="69"/>
      <c r="F14" s="22"/>
      <c r="G14" s="22"/>
      <c r="I14" s="67"/>
    </row>
    <row r="15" spans="4:10" x14ac:dyDescent="0.25">
      <c r="D15" s="66"/>
      <c r="E15" s="20" t="s">
        <v>67</v>
      </c>
      <c r="F15" s="6" t="s">
        <v>68</v>
      </c>
      <c r="G15" s="6"/>
      <c r="I15" s="67"/>
    </row>
    <row r="16" spans="4:10" x14ac:dyDescent="0.25">
      <c r="D16" s="66"/>
      <c r="F16" s="22"/>
      <c r="I16" s="67"/>
    </row>
    <row r="17" spans="3:9" x14ac:dyDescent="0.25">
      <c r="D17" s="70"/>
      <c r="E17" s="71"/>
      <c r="F17" s="34"/>
      <c r="G17" s="71"/>
      <c r="H17" s="71"/>
      <c r="I17" s="19"/>
    </row>
    <row r="18" spans="3:9" x14ac:dyDescent="0.25">
      <c r="F18" s="22"/>
    </row>
    <row r="19" spans="3:9" x14ac:dyDescent="0.25">
      <c r="F19" s="72"/>
      <c r="G19" s="20"/>
    </row>
    <row r="22" spans="3:9" ht="15" customHeight="1" x14ac:dyDescent="0.25">
      <c r="C22" s="3" t="s">
        <v>69</v>
      </c>
      <c r="D22" s="3"/>
      <c r="E22" s="3"/>
      <c r="F22" s="3"/>
      <c r="G22" s="3"/>
    </row>
    <row r="23" spans="3:9" x14ac:dyDescent="0.25">
      <c r="C23" s="3"/>
      <c r="D23" s="3"/>
      <c r="E23" s="3"/>
      <c r="F23" s="3"/>
      <c r="G23" s="3"/>
    </row>
    <row r="24" spans="3:9" x14ac:dyDescent="0.25">
      <c r="C24" s="3"/>
      <c r="D24" s="3"/>
      <c r="E24" s="3"/>
      <c r="F24" s="3"/>
      <c r="G24" s="3"/>
    </row>
    <row r="25" spans="3:9" x14ac:dyDescent="0.25">
      <c r="C25" s="3"/>
      <c r="D25" s="3"/>
      <c r="E25" s="3"/>
      <c r="F25" s="3"/>
      <c r="G25" s="3"/>
    </row>
    <row r="28" spans="3:9" x14ac:dyDescent="0.25">
      <c r="C28" s="73" t="s">
        <v>70</v>
      </c>
      <c r="D28" s="74"/>
      <c r="E28" s="74"/>
      <c r="F28" s="74"/>
      <c r="G28" s="74"/>
    </row>
    <row r="29" spans="3:9" ht="15" customHeight="1" x14ac:dyDescent="0.25">
      <c r="C29" s="75" t="s">
        <v>71</v>
      </c>
      <c r="D29" s="30">
        <v>57</v>
      </c>
      <c r="E29" s="2" t="s">
        <v>72</v>
      </c>
      <c r="F29" s="2"/>
      <c r="G29" s="2"/>
    </row>
    <row r="30" spans="3:9" x14ac:dyDescent="0.25">
      <c r="C30" s="89" t="s">
        <v>73</v>
      </c>
      <c r="D30" s="67" t="s">
        <v>74</v>
      </c>
      <c r="E30" s="2"/>
      <c r="F30" s="2"/>
      <c r="G30" s="2"/>
    </row>
    <row r="31" spans="3:9" x14ac:dyDescent="0.25">
      <c r="C31" s="70" t="s">
        <v>75</v>
      </c>
      <c r="D31" s="35">
        <v>4.55</v>
      </c>
      <c r="E31" s="2"/>
      <c r="F31" s="2"/>
      <c r="G31" s="2"/>
    </row>
    <row r="33" spans="3:8" x14ac:dyDescent="0.25">
      <c r="E33" s="1" t="s">
        <v>76</v>
      </c>
      <c r="F33" s="1"/>
      <c r="G33" s="1"/>
      <c r="H33" s="1"/>
    </row>
    <row r="34" spans="3:8" x14ac:dyDescent="0.25">
      <c r="C34" s="20" t="s">
        <v>77</v>
      </c>
      <c r="D34" s="76" t="str">
        <f>IF(D30="Full Time",IF(D31&gt;4.5,"yes","No"),"No")</f>
        <v>No</v>
      </c>
      <c r="E34" s="1"/>
      <c r="F34" s="1"/>
      <c r="G34" s="1"/>
      <c r="H34" s="1"/>
    </row>
    <row r="35" spans="3:8" x14ac:dyDescent="0.25">
      <c r="E35" s="1"/>
      <c r="F35" s="1"/>
      <c r="G35" s="1"/>
      <c r="H35" s="1"/>
    </row>
    <row r="36" spans="3:8" x14ac:dyDescent="0.25">
      <c r="E36" s="20"/>
      <c r="F36" s="20"/>
      <c r="G36" s="20"/>
      <c r="H36" s="20"/>
    </row>
    <row r="37" spans="3:8" x14ac:dyDescent="0.25">
      <c r="E37" s="20"/>
      <c r="F37" s="20"/>
      <c r="G37" s="20"/>
      <c r="H37" s="20"/>
    </row>
    <row r="38" spans="3:8" x14ac:dyDescent="0.25">
      <c r="C38" t="s">
        <v>78</v>
      </c>
    </row>
    <row r="70" spans="3:3" ht="409.5" x14ac:dyDescent="0.25">
      <c r="C70" s="77" t="s">
        <v>79</v>
      </c>
    </row>
  </sheetData>
  <mergeCells count="6">
    <mergeCell ref="E33:H35"/>
    <mergeCell ref="D4:J5"/>
    <mergeCell ref="D7:J8"/>
    <mergeCell ref="F15:G15"/>
    <mergeCell ref="C22:G25"/>
    <mergeCell ref="E29:G31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zoomScaleNormal="100" workbookViewId="0">
      <selection activeCell="D22" sqref="D22"/>
    </sheetView>
  </sheetViews>
  <sheetFormatPr defaultColWidth="14.42578125" defaultRowHeight="15" x14ac:dyDescent="0.25"/>
  <sheetData>
    <row r="1" spans="1:10" x14ac:dyDescent="0.25">
      <c r="A1" s="20" t="s">
        <v>80</v>
      </c>
      <c r="G1" s="20" t="s">
        <v>81</v>
      </c>
    </row>
    <row r="2" spans="1:10" x14ac:dyDescent="0.25">
      <c r="A2" s="20" t="s">
        <v>82</v>
      </c>
      <c r="B2" s="20" t="s">
        <v>83</v>
      </c>
      <c r="C2" s="20" t="s">
        <v>84</v>
      </c>
      <c r="G2" s="20" t="s">
        <v>85</v>
      </c>
      <c r="H2" s="20" t="s">
        <v>86</v>
      </c>
      <c r="I2" s="20" t="s">
        <v>87</v>
      </c>
    </row>
    <row r="3" spans="1:10" x14ac:dyDescent="0.25">
      <c r="A3" t="s">
        <v>88</v>
      </c>
      <c r="B3" t="s">
        <v>89</v>
      </c>
      <c r="C3" s="22">
        <v>10</v>
      </c>
      <c r="G3" t="s">
        <v>90</v>
      </c>
      <c r="H3" t="s">
        <v>56</v>
      </c>
      <c r="I3" s="22">
        <v>77</v>
      </c>
    </row>
    <row r="4" spans="1:10" x14ac:dyDescent="0.25">
      <c r="A4" t="s">
        <v>91</v>
      </c>
      <c r="B4" t="s">
        <v>92</v>
      </c>
      <c r="C4" s="22">
        <v>20</v>
      </c>
      <c r="G4" t="s">
        <v>93</v>
      </c>
      <c r="H4" t="s">
        <v>94</v>
      </c>
      <c r="I4" s="22">
        <v>71</v>
      </c>
    </row>
    <row r="5" spans="1:10" x14ac:dyDescent="0.25">
      <c r="A5" t="s">
        <v>95</v>
      </c>
      <c r="B5" t="s">
        <v>89</v>
      </c>
      <c r="C5" s="22">
        <v>15</v>
      </c>
      <c r="G5" t="s">
        <v>96</v>
      </c>
      <c r="H5" t="s">
        <v>97</v>
      </c>
      <c r="I5" s="22">
        <v>75</v>
      </c>
    </row>
    <row r="6" spans="1:10" x14ac:dyDescent="0.25">
      <c r="A6" t="s">
        <v>98</v>
      </c>
      <c r="B6" t="s">
        <v>92</v>
      </c>
      <c r="C6" s="22">
        <v>17</v>
      </c>
      <c r="G6" t="s">
        <v>90</v>
      </c>
      <c r="H6" t="s">
        <v>99</v>
      </c>
      <c r="I6" s="22">
        <v>67</v>
      </c>
    </row>
    <row r="7" spans="1:10" x14ac:dyDescent="0.25">
      <c r="A7" t="s">
        <v>100</v>
      </c>
      <c r="B7" t="s">
        <v>89</v>
      </c>
      <c r="C7" s="22">
        <v>44</v>
      </c>
      <c r="G7" t="s">
        <v>93</v>
      </c>
      <c r="H7" t="s">
        <v>6</v>
      </c>
      <c r="I7" s="22">
        <v>89</v>
      </c>
    </row>
    <row r="8" spans="1:10" x14ac:dyDescent="0.25">
      <c r="A8" t="s">
        <v>101</v>
      </c>
      <c r="B8" t="s">
        <v>92</v>
      </c>
      <c r="C8" s="22">
        <v>90</v>
      </c>
      <c r="G8" t="s">
        <v>102</v>
      </c>
      <c r="H8" t="s">
        <v>103</v>
      </c>
      <c r="I8" s="22">
        <v>87</v>
      </c>
    </row>
    <row r="9" spans="1:10" x14ac:dyDescent="0.25">
      <c r="B9" s="20" t="s">
        <v>104</v>
      </c>
      <c r="C9" s="59">
        <f>SUMIF(B3:B8,"Yellow",C3:C8)</f>
        <v>127</v>
      </c>
      <c r="D9" s="20" t="s">
        <v>8</v>
      </c>
      <c r="G9" t="s">
        <v>105</v>
      </c>
      <c r="H9" t="s">
        <v>106</v>
      </c>
      <c r="I9" s="22">
        <v>77</v>
      </c>
    </row>
    <row r="10" spans="1:10" x14ac:dyDescent="0.25">
      <c r="G10" t="s">
        <v>90</v>
      </c>
      <c r="H10" t="s">
        <v>107</v>
      </c>
      <c r="I10" s="22">
        <v>60</v>
      </c>
    </row>
    <row r="11" spans="1:10" x14ac:dyDescent="0.25">
      <c r="G11" t="s">
        <v>93</v>
      </c>
      <c r="H11" t="s">
        <v>108</v>
      </c>
      <c r="I11" s="22">
        <v>83</v>
      </c>
    </row>
    <row r="12" spans="1:10" x14ac:dyDescent="0.25">
      <c r="H12" s="20" t="s">
        <v>109</v>
      </c>
    </row>
    <row r="13" spans="1:10" x14ac:dyDescent="0.25">
      <c r="H13" s="20" t="s">
        <v>93</v>
      </c>
      <c r="I13" s="59">
        <f>AVERAGEIF(G3:G11,"Ohio",I3:I11)</f>
        <v>81</v>
      </c>
      <c r="J13" s="20" t="s">
        <v>110</v>
      </c>
    </row>
    <row r="14" spans="1:10" x14ac:dyDescent="0.25">
      <c r="A14" s="20" t="s">
        <v>111</v>
      </c>
    </row>
    <row r="15" spans="1:10" x14ac:dyDescent="0.25">
      <c r="A15" s="20" t="s">
        <v>82</v>
      </c>
      <c r="B15" s="20" t="s">
        <v>83</v>
      </c>
    </row>
    <row r="16" spans="1:10" x14ac:dyDescent="0.25">
      <c r="A16" t="s">
        <v>88</v>
      </c>
      <c r="B16" t="s">
        <v>89</v>
      </c>
    </row>
    <row r="17" spans="1:3" x14ac:dyDescent="0.25">
      <c r="A17" t="s">
        <v>91</v>
      </c>
      <c r="B17" t="s">
        <v>92</v>
      </c>
    </row>
    <row r="18" spans="1:3" x14ac:dyDescent="0.25">
      <c r="A18" t="s">
        <v>95</v>
      </c>
      <c r="B18" t="s">
        <v>89</v>
      </c>
    </row>
    <row r="19" spans="1:3" x14ac:dyDescent="0.25">
      <c r="A19" t="s">
        <v>98</v>
      </c>
      <c r="B19" t="s">
        <v>92</v>
      </c>
    </row>
    <row r="20" spans="1:3" x14ac:dyDescent="0.25">
      <c r="A20" t="s">
        <v>100</v>
      </c>
      <c r="B20" t="s">
        <v>89</v>
      </c>
    </row>
    <row r="21" spans="1:3" x14ac:dyDescent="0.25">
      <c r="A21" t="s">
        <v>101</v>
      </c>
      <c r="B21" t="s">
        <v>92</v>
      </c>
    </row>
    <row r="22" spans="1:3" x14ac:dyDescent="0.25">
      <c r="A22" t="s">
        <v>112</v>
      </c>
      <c r="B22" s="59">
        <f>COUNTIF(B16:B21,"Black")</f>
        <v>3</v>
      </c>
      <c r="C22" s="20" t="s">
        <v>8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M36"/>
  <sheetViews>
    <sheetView tabSelected="1" zoomScaleNormal="100" workbookViewId="0">
      <selection activeCell="F38" sqref="F38"/>
    </sheetView>
  </sheetViews>
  <sheetFormatPr defaultColWidth="14.42578125" defaultRowHeight="15" x14ac:dyDescent="0.25"/>
  <sheetData>
    <row r="3" spans="3:13" ht="18.75" x14ac:dyDescent="0.3">
      <c r="C3" s="78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3:13" ht="18.75" x14ac:dyDescent="0.3">
      <c r="C4" s="79" t="s">
        <v>113</v>
      </c>
      <c r="D4" s="47"/>
      <c r="E4" s="47"/>
      <c r="F4" s="47"/>
      <c r="G4" s="47"/>
      <c r="H4" s="47"/>
      <c r="I4" s="47"/>
      <c r="J4" s="47"/>
      <c r="K4" s="47"/>
      <c r="L4" s="47"/>
      <c r="M4" s="47"/>
    </row>
    <row r="6" spans="3:13" x14ac:dyDescent="0.25">
      <c r="C6" s="20" t="s">
        <v>114</v>
      </c>
    </row>
    <row r="7" spans="3:13" x14ac:dyDescent="0.25">
      <c r="C7" s="20" t="s">
        <v>115</v>
      </c>
    </row>
    <row r="8" spans="3:13" x14ac:dyDescent="0.25">
      <c r="C8" s="23" t="s">
        <v>116</v>
      </c>
      <c r="D8" s="23" t="s">
        <v>117</v>
      </c>
      <c r="E8" s="23" t="s">
        <v>85</v>
      </c>
      <c r="F8" s="23" t="s">
        <v>11</v>
      </c>
    </row>
    <row r="9" spans="3:13" x14ac:dyDescent="0.25">
      <c r="C9" s="80">
        <v>1</v>
      </c>
      <c r="D9" s="24" t="s">
        <v>118</v>
      </c>
      <c r="E9" s="24" t="s">
        <v>119</v>
      </c>
      <c r="F9" s="81">
        <v>492</v>
      </c>
    </row>
    <row r="10" spans="3:13" x14ac:dyDescent="0.25">
      <c r="C10" s="80">
        <v>2</v>
      </c>
      <c r="D10" s="24" t="s">
        <v>120</v>
      </c>
      <c r="E10" s="24" t="s">
        <v>121</v>
      </c>
      <c r="F10" s="81">
        <v>124</v>
      </c>
    </row>
    <row r="11" spans="3:13" x14ac:dyDescent="0.25">
      <c r="C11" s="80">
        <v>3</v>
      </c>
      <c r="D11" s="24" t="s">
        <v>118</v>
      </c>
      <c r="E11" s="24" t="s">
        <v>122</v>
      </c>
      <c r="F11" s="81">
        <v>555</v>
      </c>
    </row>
    <row r="12" spans="3:13" x14ac:dyDescent="0.25">
      <c r="C12" s="80">
        <v>4</v>
      </c>
      <c r="D12" s="24" t="s">
        <v>118</v>
      </c>
      <c r="E12" s="24" t="s">
        <v>119</v>
      </c>
      <c r="F12" s="81">
        <v>100</v>
      </c>
    </row>
    <row r="13" spans="3:13" x14ac:dyDescent="0.25">
      <c r="C13" s="80">
        <v>5</v>
      </c>
      <c r="D13" s="24" t="s">
        <v>123</v>
      </c>
      <c r="E13" s="24" t="s">
        <v>119</v>
      </c>
      <c r="F13" s="81">
        <v>8</v>
      </c>
    </row>
    <row r="14" spans="3:13" x14ac:dyDescent="0.25">
      <c r="C14" s="80">
        <v>6</v>
      </c>
      <c r="D14" s="24" t="s">
        <v>123</v>
      </c>
      <c r="E14" s="24" t="s">
        <v>124</v>
      </c>
      <c r="F14" s="81">
        <v>201</v>
      </c>
    </row>
    <row r="15" spans="3:13" x14ac:dyDescent="0.25">
      <c r="C15" s="80">
        <v>7</v>
      </c>
      <c r="D15" s="24" t="s">
        <v>118</v>
      </c>
      <c r="E15" s="24" t="s">
        <v>119</v>
      </c>
      <c r="F15" s="81">
        <v>20</v>
      </c>
    </row>
    <row r="16" spans="3:13" x14ac:dyDescent="0.25">
      <c r="C16" s="80">
        <v>8</v>
      </c>
      <c r="D16" s="24" t="s">
        <v>120</v>
      </c>
      <c r="E16" s="24" t="s">
        <v>121</v>
      </c>
      <c r="F16" s="81">
        <v>43</v>
      </c>
    </row>
    <row r="17" spans="3:6" x14ac:dyDescent="0.25">
      <c r="C17" s="80">
        <v>9</v>
      </c>
      <c r="D17" s="24" t="s">
        <v>118</v>
      </c>
      <c r="E17" s="24" t="s">
        <v>121</v>
      </c>
      <c r="F17" s="81">
        <v>108</v>
      </c>
    </row>
    <row r="18" spans="3:6" x14ac:dyDescent="0.25">
      <c r="C18" s="80">
        <v>10</v>
      </c>
      <c r="D18" s="24" t="s">
        <v>123</v>
      </c>
      <c r="E18" s="24" t="s">
        <v>122</v>
      </c>
      <c r="F18" s="81">
        <v>172</v>
      </c>
    </row>
    <row r="21" spans="3:6" x14ac:dyDescent="0.25">
      <c r="D21" t="s">
        <v>77</v>
      </c>
      <c r="E21">
        <f>SUMIFS(F9:F18,D9:D18,"Gold",E9:E18,"NY")</f>
        <v>612</v>
      </c>
      <c r="F21" s="20" t="s">
        <v>110</v>
      </c>
    </row>
    <row r="25" spans="3:6" ht="18" x14ac:dyDescent="0.25">
      <c r="C25" s="82" t="s">
        <v>125</v>
      </c>
    </row>
    <row r="27" spans="3:6" x14ac:dyDescent="0.25">
      <c r="C27" s="20" t="s">
        <v>126</v>
      </c>
    </row>
    <row r="28" spans="3:6" x14ac:dyDescent="0.25">
      <c r="C28" s="23" t="s">
        <v>0</v>
      </c>
      <c r="D28" s="23" t="s">
        <v>127</v>
      </c>
      <c r="E28" s="23" t="s">
        <v>53</v>
      </c>
    </row>
    <row r="29" spans="3:6" x14ac:dyDescent="0.25">
      <c r="C29" s="24" t="s">
        <v>128</v>
      </c>
      <c r="D29" s="24" t="s">
        <v>129</v>
      </c>
      <c r="E29" s="81">
        <v>12</v>
      </c>
    </row>
    <row r="30" spans="3:6" x14ac:dyDescent="0.25">
      <c r="C30" s="24" t="s">
        <v>54</v>
      </c>
      <c r="D30" s="24" t="s">
        <v>129</v>
      </c>
      <c r="E30" s="81">
        <v>14</v>
      </c>
    </row>
    <row r="31" spans="3:6" x14ac:dyDescent="0.25">
      <c r="C31" s="24" t="s">
        <v>130</v>
      </c>
      <c r="D31" s="24" t="s">
        <v>131</v>
      </c>
      <c r="E31" s="81">
        <v>24</v>
      </c>
    </row>
    <row r="32" spans="3:6" x14ac:dyDescent="0.25">
      <c r="C32" s="24" t="s">
        <v>132</v>
      </c>
      <c r="D32" s="24" t="s">
        <v>131</v>
      </c>
      <c r="E32" s="81">
        <v>32</v>
      </c>
    </row>
    <row r="33" spans="3:6" x14ac:dyDescent="0.25">
      <c r="C33" s="24" t="s">
        <v>133</v>
      </c>
      <c r="D33" s="24" t="s">
        <v>129</v>
      </c>
      <c r="E33" s="81">
        <v>12</v>
      </c>
    </row>
    <row r="34" spans="3:6" x14ac:dyDescent="0.25">
      <c r="C34" s="24" t="s">
        <v>134</v>
      </c>
      <c r="D34" s="24" t="s">
        <v>129</v>
      </c>
      <c r="E34" s="81">
        <v>17</v>
      </c>
    </row>
    <row r="36" spans="3:6" x14ac:dyDescent="0.25">
      <c r="D36" t="s">
        <v>77</v>
      </c>
      <c r="E36" s="59">
        <f>COUNTIFS(D29:D34,"Boy",E29:E34,"&lt;18")</f>
        <v>4</v>
      </c>
      <c r="F36" s="20" t="s">
        <v>135</v>
      </c>
    </row>
  </sheetData>
  <hyperlinks>
    <hyperlink ref="C4" r:id="rId1" xr:uid="{00000000-0004-0000-0700-000000000000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Arithmatic Operators - SUM</vt:lpstr>
      <vt:lpstr>Arithmatic Operators - MAX</vt:lpstr>
      <vt:lpstr>Arithmatic Operators - MIN</vt:lpstr>
      <vt:lpstr>Arithmatic Operators - COUNT an</vt:lpstr>
      <vt:lpstr>Arithmatic Operators - AVERAGE</vt:lpstr>
      <vt:lpstr>Conditional Operators - IF and </vt:lpstr>
      <vt:lpstr>Conditional - SUMIF, COUNTIF an</vt:lpstr>
      <vt:lpstr>Conditional Operators - SUMIFS,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Sanjay M</cp:lastModifiedBy>
  <cp:revision>3</cp:revision>
  <dcterms:modified xsi:type="dcterms:W3CDTF">2026-04-18T07:05:47Z</dcterms:modified>
  <dc:language>en-IN</dc:language>
</cp:coreProperties>
</file>
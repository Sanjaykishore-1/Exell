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3/"/>
    </mc:Choice>
  </mc:AlternateContent>
  <xr:revisionPtr revIDLastSave="51" documentId="8_{5BABCDFC-5B31-4A5A-8412-B02BED138968}" xr6:coauthVersionLast="47" xr6:coauthVersionMax="47" xr10:uidLastSave="{CA331AFA-CD30-4593-B933-CDFD48CFC94D}"/>
  <bookViews>
    <workbookView xWindow="-120" yWindow="-120" windowWidth="29040" windowHeight="17520" xr2:uid="{520CA536-3447-4918-B7C1-AAFBD3FBE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N2" i="1"/>
  <c r="I2" i="1"/>
  <c r="I3" i="1"/>
  <c r="I4" i="1"/>
  <c r="I5" i="1"/>
  <c r="I6" i="1"/>
  <c r="I7" i="1"/>
  <c r="I8" i="1"/>
  <c r="I9" i="1"/>
  <c r="I10" i="1"/>
  <c r="I11" i="1"/>
  <c r="N3" i="1"/>
  <c r="N4" i="1"/>
  <c r="N5" i="1"/>
  <c r="N6" i="1"/>
  <c r="N7" i="1"/>
  <c r="N8" i="1"/>
  <c r="N9" i="1"/>
  <c r="N10" i="1"/>
  <c r="N11" i="1"/>
  <c r="M3" i="1"/>
  <c r="M4" i="1"/>
  <c r="M5" i="1"/>
  <c r="M6" i="1"/>
  <c r="M7" i="1"/>
  <c r="M8" i="1"/>
  <c r="M9" i="1"/>
  <c r="M10" i="1"/>
  <c r="M11" i="1"/>
  <c r="M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<sst xmlns="http://schemas.openxmlformats.org/spreadsheetml/2006/main" count="64" uniqueCount="54">
  <si>
    <t>Employee ID</t>
  </si>
  <si>
    <t>Employee First Name</t>
  </si>
  <si>
    <t>Employee Last Name</t>
  </si>
  <si>
    <t>Employee Name</t>
  </si>
  <si>
    <t>Phone Number</t>
  </si>
  <si>
    <t>Valid Phone Number</t>
  </si>
  <si>
    <t>Email</t>
  </si>
  <si>
    <t>Missing Email ids</t>
  </si>
  <si>
    <t>Department</t>
  </si>
  <si>
    <t>Joining Date</t>
  </si>
  <si>
    <t>Status</t>
  </si>
  <si>
    <t>EMP-001</t>
  </si>
  <si>
    <t>Rahul Sharma</t>
  </si>
  <si>
    <t>rahul.sharma@company.com</t>
  </si>
  <si>
    <t>Sales</t>
  </si>
  <si>
    <t>Active</t>
  </si>
  <si>
    <t>EMP-002</t>
  </si>
  <si>
    <t>Anita Singh</t>
  </si>
  <si>
    <t>98765 43211</t>
  </si>
  <si>
    <t>anita.singhcompany.com</t>
  </si>
  <si>
    <t>HR</t>
  </si>
  <si>
    <t>EMP-003</t>
  </si>
  <si>
    <t>David Mathews</t>
  </si>
  <si>
    <t>IT</t>
  </si>
  <si>
    <t>7/18/20</t>
  </si>
  <si>
    <t>EMP-004</t>
  </si>
  <si>
    <t>Sunil Kumar</t>
  </si>
  <si>
    <t>sunil.kumar@company.com</t>
  </si>
  <si>
    <t>Finance</t>
  </si>
  <si>
    <t>3/18/19</t>
  </si>
  <si>
    <t>Inactive</t>
  </si>
  <si>
    <t>EMP-005</t>
  </si>
  <si>
    <t>Priya R</t>
  </si>
  <si>
    <t>priya.r@company.com</t>
  </si>
  <si>
    <t>Marketing</t>
  </si>
  <si>
    <t>EMP-006</t>
  </si>
  <si>
    <t>Aman Verma</t>
  </si>
  <si>
    <t>aman.verma@company.com</t>
  </si>
  <si>
    <t>10/14/22</t>
  </si>
  <si>
    <t>EMP-007</t>
  </si>
  <si>
    <t>Maria Lopez</t>
  </si>
  <si>
    <t>EMP-008</t>
  </si>
  <si>
    <t>John Paul</t>
  </si>
  <si>
    <t>john.paul@company.com</t>
  </si>
  <si>
    <t>EMP-009</t>
  </si>
  <si>
    <t>Khushi Jain</t>
  </si>
  <si>
    <t>khushi.jain@company.com</t>
  </si>
  <si>
    <t>4/23/23</t>
  </si>
  <si>
    <t>EMP-010</t>
  </si>
  <si>
    <t>rohan.m@company.com</t>
  </si>
  <si>
    <t>6/16/22</t>
  </si>
  <si>
    <t>Employee name and ID (Concat)</t>
  </si>
  <si>
    <t>summary (Text Join)</t>
  </si>
  <si>
    <t>Valid Email IDS (Or operator)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</si>
</sst>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rgb="FF467886"/>
      <name val="Aptos Narrow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n.verma@company.com" TargetMode="External"/><Relationship Id="rId2" Type="http://schemas.openxmlformats.org/officeDocument/2006/relationships/hyperlink" Target="mailto:priya.r@company.com" TargetMode="External"/><Relationship Id="rId1" Type="http://schemas.openxmlformats.org/officeDocument/2006/relationships/hyperlink" Target="mailto:sunil.kumar@company.com" TargetMode="External"/><Relationship Id="rId6" Type="http://schemas.openxmlformats.org/officeDocument/2006/relationships/hyperlink" Target="mailto:rahul.sharma@company.com" TargetMode="External"/><Relationship Id="rId5" Type="http://schemas.openxmlformats.org/officeDocument/2006/relationships/hyperlink" Target="mailto:rohan.m@company.com" TargetMode="External"/><Relationship Id="rId4" Type="http://schemas.openxmlformats.org/officeDocument/2006/relationships/hyperlink" Target="mailto:khushi.jai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CD52-EBF3-4CA2-9F96-02014CF3FCC7}">
  <dimension ref="A1:N11"/>
  <sheetViews>
    <sheetView tabSelected="1" topLeftCell="B1" zoomScale="85" zoomScaleNormal="85" workbookViewId="0">
      <selection activeCell="O1" sqref="O1"/>
    </sheetView>
  </sheetViews>
  <sheetFormatPr defaultColWidth="20.7109375" defaultRowHeight="15" x14ac:dyDescent="0.25"/>
  <cols>
    <col min="1" max="3" width="20.7109375" customWidth="1"/>
    <col min="4" max="4" width="33" customWidth="1"/>
    <col min="5" max="7" width="20.7109375" customWidth="1"/>
    <col min="8" max="8" width="33.5703125" customWidth="1"/>
    <col min="9" max="12" width="20.7109375" customWidth="1"/>
    <col min="13" max="13" width="32.42578125" customWidth="1"/>
    <col min="14" max="14" width="38.28515625" customWidth="1"/>
  </cols>
  <sheetData>
    <row r="1" spans="1:14" ht="30" customHeight="1" thickBot="1" x14ac:dyDescent="0.3">
      <c r="A1" s="2" t="s">
        <v>0</v>
      </c>
      <c r="B1" s="1" t="s">
        <v>1</v>
      </c>
      <c r="C1" s="1" t="s">
        <v>2</v>
      </c>
      <c r="D1" s="1" t="s">
        <v>51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52</v>
      </c>
      <c r="N1" s="1" t="s">
        <v>53</v>
      </c>
    </row>
    <row r="2" spans="1:14" ht="30" customHeight="1" thickBot="1" x14ac:dyDescent="0.3">
      <c r="A2" s="3" t="s">
        <v>11</v>
      </c>
      <c r="B2" s="4" t="str">
        <f>_xlfn.TEXTBEFORE(E2," ")</f>
        <v>Rahul</v>
      </c>
      <c r="C2" s="4" t="str">
        <f>_xlfn.TEXTAFTER(E2," ")</f>
        <v>Sharma</v>
      </c>
      <c r="D2" s="4" t="str">
        <f>_xlfn.CONCAT(E2,," ",RIGHT(A2,3))</f>
        <v>Rahul Sharma 001</v>
      </c>
      <c r="E2" s="4" t="s">
        <v>12</v>
      </c>
      <c r="F2" s="4">
        <v>9876543210</v>
      </c>
      <c r="G2" s="4" t="str">
        <f>IF(LEN(F2)&lt;10,"Invalid","valid")</f>
        <v>valid</v>
      </c>
      <c r="H2" s="5" t="s">
        <v>13</v>
      </c>
      <c r="I2" s="6" t="b">
        <f>ISBLANK(H2)</f>
        <v>0</v>
      </c>
      <c r="J2" s="4" t="s">
        <v>14</v>
      </c>
      <c r="K2" s="7">
        <v>44532</v>
      </c>
      <c r="L2" s="4" t="s">
        <v>15</v>
      </c>
      <c r="M2" s="4" t="str">
        <f>_xlfn.TEXTJOIN(" ",TRUE,D2,J2)</f>
        <v>Rahul Sharma 001 Sales</v>
      </c>
      <c r="N2" s="4" t="str">
        <f>IF(OR(ISNUMBER(SEARCH("@",H2)), ISNUMBER(SEARCH(" ",H2))), "Right", "Wrong")</f>
        <v>Right</v>
      </c>
    </row>
    <row r="3" spans="1:14" ht="30" customHeight="1" thickBot="1" x14ac:dyDescent="0.3">
      <c r="A3" s="3" t="s">
        <v>16</v>
      </c>
      <c r="B3" s="4" t="str">
        <f t="shared" ref="B3:B11" si="0">_xlfn.TEXTBEFORE(E3," ")</f>
        <v>Anita</v>
      </c>
      <c r="C3" s="4" t="str">
        <f t="shared" ref="C3:C11" si="1">_xlfn.TEXTAFTER(E3," ")</f>
        <v>Singh</v>
      </c>
      <c r="D3" s="4" t="str">
        <f t="shared" ref="D3:D11" si="2">_xlfn.CONCAT(E3,," ",RIGHT(A3,3))</f>
        <v>Anita Singh 002</v>
      </c>
      <c r="E3" s="4" t="s">
        <v>17</v>
      </c>
      <c r="F3" s="4" t="s">
        <v>18</v>
      </c>
      <c r="G3" s="4" t="str">
        <f t="shared" ref="G3:G11" si="3">IF(LEN(F3)&lt;10,"Invalid","valid")</f>
        <v>valid</v>
      </c>
      <c r="H3" s="6" t="s">
        <v>19</v>
      </c>
      <c r="I3" s="6" t="b">
        <f t="shared" ref="I3:I11" si="4">ISBLANK(H3)</f>
        <v>0</v>
      </c>
      <c r="J3" s="4" t="s">
        <v>20</v>
      </c>
      <c r="K3" s="7">
        <v>43962</v>
      </c>
      <c r="L3" s="4" t="s">
        <v>15</v>
      </c>
      <c r="M3" s="4" t="str">
        <f t="shared" ref="M3:M11" si="5">_xlfn.TEXTJOIN(" ",TRUE,D3,J3)</f>
        <v>Anita Singh 002 HR</v>
      </c>
      <c r="N3" s="4" t="str">
        <f t="shared" ref="N3:N11" si="6">IF(OR(ISNUMBER(SEARCH("@",H3)), ISNUMBER(SEARCH(" ",H3))), "Right", "Wrong")</f>
        <v>Wrong</v>
      </c>
    </row>
    <row r="4" spans="1:14" ht="30" customHeight="1" thickBot="1" x14ac:dyDescent="0.3">
      <c r="A4" s="3" t="s">
        <v>21</v>
      </c>
      <c r="B4" s="4" t="str">
        <f t="shared" si="0"/>
        <v>David</v>
      </c>
      <c r="C4" s="4" t="str">
        <f t="shared" si="1"/>
        <v>Mathews</v>
      </c>
      <c r="D4" s="4" t="str">
        <f t="shared" si="2"/>
        <v>David Mathews 003</v>
      </c>
      <c r="E4" s="4" t="s">
        <v>22</v>
      </c>
      <c r="F4" s="4">
        <v>9876509876</v>
      </c>
      <c r="G4" s="4" t="str">
        <f t="shared" si="3"/>
        <v>valid</v>
      </c>
      <c r="H4" s="8"/>
      <c r="I4" s="6" t="b">
        <f t="shared" si="4"/>
        <v>1</v>
      </c>
      <c r="J4" s="4" t="s">
        <v>23</v>
      </c>
      <c r="K4" s="4" t="s">
        <v>24</v>
      </c>
      <c r="L4" s="8"/>
      <c r="M4" s="4" t="str">
        <f t="shared" si="5"/>
        <v>David Mathews 003 IT</v>
      </c>
      <c r="N4" s="4" t="str">
        <f t="shared" si="6"/>
        <v>Wrong</v>
      </c>
    </row>
    <row r="5" spans="1:14" ht="30" customHeight="1" thickBot="1" x14ac:dyDescent="0.3">
      <c r="A5" s="3" t="s">
        <v>25</v>
      </c>
      <c r="B5" s="4" t="str">
        <f t="shared" si="0"/>
        <v>Sunil</v>
      </c>
      <c r="C5" s="4" t="str">
        <f t="shared" si="1"/>
        <v>Kumar</v>
      </c>
      <c r="D5" s="4" t="str">
        <f t="shared" si="2"/>
        <v>Sunil Kumar 004</v>
      </c>
      <c r="E5" s="4" t="s">
        <v>26</v>
      </c>
      <c r="F5" s="8"/>
      <c r="G5" s="4" t="str">
        <f t="shared" si="3"/>
        <v>Invalid</v>
      </c>
      <c r="H5" s="5" t="s">
        <v>27</v>
      </c>
      <c r="I5" s="6" t="b">
        <f t="shared" si="4"/>
        <v>0</v>
      </c>
      <c r="J5" s="4" t="s">
        <v>28</v>
      </c>
      <c r="K5" s="4" t="s">
        <v>29</v>
      </c>
      <c r="L5" s="4" t="s">
        <v>30</v>
      </c>
      <c r="M5" s="4" t="str">
        <f t="shared" si="5"/>
        <v>Sunil Kumar 004 Finance</v>
      </c>
      <c r="N5" s="4" t="str">
        <f t="shared" si="6"/>
        <v>Right</v>
      </c>
    </row>
    <row r="6" spans="1:14" ht="30" customHeight="1" thickBot="1" x14ac:dyDescent="0.3">
      <c r="A6" s="3" t="s">
        <v>31</v>
      </c>
      <c r="B6" s="4" t="str">
        <f t="shared" si="0"/>
        <v>Priya</v>
      </c>
      <c r="C6" s="4" t="str">
        <f t="shared" si="1"/>
        <v>R</v>
      </c>
      <c r="D6" s="4" t="str">
        <f t="shared" si="2"/>
        <v>Priya R 005</v>
      </c>
      <c r="E6" s="4" t="s">
        <v>32</v>
      </c>
      <c r="F6" s="4">
        <v>9901234567</v>
      </c>
      <c r="G6" s="4" t="str">
        <f t="shared" si="3"/>
        <v>valid</v>
      </c>
      <c r="H6" s="5" t="s">
        <v>33</v>
      </c>
      <c r="I6" s="6" t="b">
        <f t="shared" si="4"/>
        <v>0</v>
      </c>
      <c r="J6" s="4" t="s">
        <v>34</v>
      </c>
      <c r="K6" s="7">
        <v>44386</v>
      </c>
      <c r="L6" s="4" t="s">
        <v>15</v>
      </c>
      <c r="M6" s="4" t="str">
        <f t="shared" si="5"/>
        <v>Priya R 005 Marketing</v>
      </c>
      <c r="N6" s="4" t="str">
        <f t="shared" si="6"/>
        <v>Right</v>
      </c>
    </row>
    <row r="7" spans="1:14" ht="30" customHeight="1" thickBot="1" x14ac:dyDescent="0.3">
      <c r="A7" s="3" t="s">
        <v>35</v>
      </c>
      <c r="B7" s="4" t="str">
        <f t="shared" si="0"/>
        <v>Aman</v>
      </c>
      <c r="C7" s="4" t="str">
        <f t="shared" si="1"/>
        <v>Verma</v>
      </c>
      <c r="D7" s="4" t="str">
        <f t="shared" si="2"/>
        <v>Aman Verma 006</v>
      </c>
      <c r="E7" s="4" t="s">
        <v>36</v>
      </c>
      <c r="F7" s="4">
        <v>991234567</v>
      </c>
      <c r="G7" s="4" t="str">
        <f t="shared" si="3"/>
        <v>Invalid</v>
      </c>
      <c r="H7" s="5" t="s">
        <v>37</v>
      </c>
      <c r="I7" s="6" t="b">
        <f t="shared" si="4"/>
        <v>0</v>
      </c>
      <c r="J7" s="4" t="s">
        <v>23</v>
      </c>
      <c r="K7" s="4" t="s">
        <v>38</v>
      </c>
      <c r="L7" s="4" t="s">
        <v>15</v>
      </c>
      <c r="M7" s="4" t="str">
        <f t="shared" si="5"/>
        <v>Aman Verma 006 IT</v>
      </c>
      <c r="N7" s="4" t="str">
        <f t="shared" si="6"/>
        <v>Right</v>
      </c>
    </row>
    <row r="8" spans="1:14" ht="30" customHeight="1" thickBot="1" x14ac:dyDescent="0.3">
      <c r="A8" s="3" t="s">
        <v>39</v>
      </c>
      <c r="B8" s="4" t="str">
        <f t="shared" si="0"/>
        <v>Maria</v>
      </c>
      <c r="C8" s="4" t="str">
        <f t="shared" si="1"/>
        <v>Lopez</v>
      </c>
      <c r="D8" s="4" t="str">
        <f t="shared" si="2"/>
        <v>Maria Lopez 007</v>
      </c>
      <c r="E8" s="4" t="s">
        <v>40</v>
      </c>
      <c r="F8" s="4">
        <v>9876543210</v>
      </c>
      <c r="G8" s="4" t="str">
        <f t="shared" si="3"/>
        <v>valid</v>
      </c>
      <c r="H8" s="8"/>
      <c r="I8" s="6" t="b">
        <f t="shared" si="4"/>
        <v>1</v>
      </c>
      <c r="J8" s="4" t="s">
        <v>14</v>
      </c>
      <c r="K8" s="7">
        <v>43831</v>
      </c>
      <c r="L8" s="4" t="s">
        <v>15</v>
      </c>
      <c r="M8" s="4" t="str">
        <f t="shared" si="5"/>
        <v>Maria Lopez 007 Sales</v>
      </c>
      <c r="N8" s="4" t="str">
        <f t="shared" si="6"/>
        <v>Wrong</v>
      </c>
    </row>
    <row r="9" spans="1:14" ht="30" customHeight="1" thickBot="1" x14ac:dyDescent="0.3">
      <c r="A9" s="3" t="s">
        <v>41</v>
      </c>
      <c r="B9" s="4" t="str">
        <f t="shared" si="0"/>
        <v>John</v>
      </c>
      <c r="C9" s="4" t="str">
        <f t="shared" si="1"/>
        <v>Paul</v>
      </c>
      <c r="D9" s="4" t="str">
        <f t="shared" si="2"/>
        <v>John Paul 008</v>
      </c>
      <c r="E9" s="4" t="s">
        <v>42</v>
      </c>
      <c r="F9" s="4">
        <v>8899776655</v>
      </c>
      <c r="G9" s="4" t="str">
        <f t="shared" si="3"/>
        <v>valid</v>
      </c>
      <c r="H9" s="6" t="s">
        <v>43</v>
      </c>
      <c r="I9" s="6" t="b">
        <f t="shared" si="4"/>
        <v>0</v>
      </c>
      <c r="J9" s="4" t="s">
        <v>23</v>
      </c>
      <c r="K9" s="7">
        <v>43416</v>
      </c>
      <c r="L9" s="4" t="s">
        <v>30</v>
      </c>
      <c r="M9" s="4" t="str">
        <f t="shared" si="5"/>
        <v>John Paul 008 IT</v>
      </c>
      <c r="N9" s="4" t="str">
        <f t="shared" si="6"/>
        <v>Right</v>
      </c>
    </row>
    <row r="10" spans="1:14" ht="30" customHeight="1" thickBot="1" x14ac:dyDescent="0.3">
      <c r="A10" s="3" t="s">
        <v>44</v>
      </c>
      <c r="B10" s="4" t="str">
        <f t="shared" si="0"/>
        <v>Khushi</v>
      </c>
      <c r="C10" s="4" t="str">
        <f t="shared" si="1"/>
        <v>Jain</v>
      </c>
      <c r="D10" s="4" t="str">
        <f t="shared" si="2"/>
        <v>Khushi Jain 009</v>
      </c>
      <c r="E10" s="4" t="s">
        <v>45</v>
      </c>
      <c r="F10" s="4">
        <v>9901122334</v>
      </c>
      <c r="G10" s="4" t="str">
        <f t="shared" si="3"/>
        <v>valid</v>
      </c>
      <c r="H10" s="5" t="s">
        <v>46</v>
      </c>
      <c r="I10" s="6" t="b">
        <f t="shared" si="4"/>
        <v>0</v>
      </c>
      <c r="J10" s="8"/>
      <c r="K10" s="4" t="s">
        <v>47</v>
      </c>
      <c r="L10" s="4" t="s">
        <v>15</v>
      </c>
      <c r="M10" s="4" t="str">
        <f t="shared" si="5"/>
        <v>Khushi Jain 009</v>
      </c>
      <c r="N10" s="4" t="str">
        <f t="shared" si="6"/>
        <v>Right</v>
      </c>
    </row>
    <row r="11" spans="1:14" ht="30" customHeight="1" thickBot="1" x14ac:dyDescent="0.3">
      <c r="A11" s="3" t="s">
        <v>48</v>
      </c>
      <c r="B11" s="4" t="e">
        <f t="shared" si="0"/>
        <v>#N/A</v>
      </c>
      <c r="C11" s="4" t="e">
        <f t="shared" si="1"/>
        <v>#N/A</v>
      </c>
      <c r="D11" s="4" t="str">
        <f t="shared" si="2"/>
        <v xml:space="preserve"> 010</v>
      </c>
      <c r="E11" s="8"/>
      <c r="F11" s="4">
        <v>9811122233</v>
      </c>
      <c r="G11" s="4" t="str">
        <f t="shared" si="3"/>
        <v>valid</v>
      </c>
      <c r="H11" s="5" t="s">
        <v>49</v>
      </c>
      <c r="I11" s="6" t="b">
        <f t="shared" si="4"/>
        <v>0</v>
      </c>
      <c r="J11" s="4" t="s">
        <v>14</v>
      </c>
      <c r="K11" s="4" t="s">
        <v>50</v>
      </c>
      <c r="L11" s="8"/>
      <c r="M11" s="4" t="str">
        <f t="shared" si="5"/>
        <v xml:space="preserve"> 010 Sales</v>
      </c>
      <c r="N11" s="4" t="str">
        <f t="shared" si="6"/>
        <v>Right</v>
      </c>
    </row>
  </sheetData>
  <hyperlinks>
    <hyperlink ref="H5" r:id="rId1" display="mailto:sunil.kumar@company.com" xr:uid="{C834DF2C-3B54-4C8E-B00F-A23AC2EC94CF}"/>
    <hyperlink ref="H6" r:id="rId2" display="mailto:priya.r@company.com" xr:uid="{36538103-03D7-482A-A557-2382B36BD34C}"/>
    <hyperlink ref="H7" r:id="rId3" display="mailto:aman.verma@company.com" xr:uid="{AA0F3697-1AAF-4584-B578-D83202F3C55D}"/>
    <hyperlink ref="H10" r:id="rId4" display="mailto:khushi.jain@company.com" xr:uid="{E74FDF87-A39B-41E4-926A-2E810F56BDB3}"/>
    <hyperlink ref="H11" r:id="rId5" display="mailto:rohan.m@company.com" xr:uid="{90C374C0-5DBE-4D6E-B99D-A7E936B2308E}"/>
    <hyperlink ref="H2" r:id="rId6" display="mailto:rahul.sharma@company.com" xr:uid="{EFAC48CB-0DD5-4B35-9F95-452BADB827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</dc:creator>
  <cp:lastModifiedBy>Sanjay M</cp:lastModifiedBy>
  <dcterms:created xsi:type="dcterms:W3CDTF">2026-04-21T09:43:03Z</dcterms:created>
  <dcterms:modified xsi:type="dcterms:W3CDTF">2026-04-25T06:54:42Z</dcterms:modified>
</cp:coreProperties>
</file>
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"/>
    </mc:Choice>
  </mc:AlternateContent>
  <xr:revisionPtr revIDLastSave="4" documentId="8_{9987A9C1-9127-4EC7-B0CA-276ADC17C3F3}" xr6:coauthVersionLast="47" xr6:coauthVersionMax="47" xr10:uidLastSave="{0B2C45EF-D57B-4270-8083-A1872E97373E}"/>
  <bookViews>
    <workbookView xWindow="-120" yWindow="-120" windowWidth="29040" windowHeight="17520" xr2:uid="{DBFDD4CE-FB75-4ECB-9B76-01EC7D1776D6}"/>
  </bookViews>
  <sheets>
    <sheet name="Sheet1" sheetId="1" r:id="rId1"/>
    <sheet name="Sheet2" sheetId="2" r:id="rId2"/>
  </sheets>
  <definedNames>
    <definedName name="tripdetails">Sheet1!$G$12:$M$27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12" i="1"/>
  <c r="O21" i="1" l="1"/>
  <c r="P12" i="1"/>
</calcChain>
</file>

<file path=xl/sharedStrings.xml><?xml version="1.0" encoding="utf-8"?>
<sst xmlns="http://schemas.openxmlformats.org/spreadsheetml/2006/main" count="41" uniqueCount="32">
  <si>
    <t xml:space="preserve">Destination </t>
  </si>
  <si>
    <t xml:space="preserve">Departure Date </t>
  </si>
  <si>
    <t xml:space="preserve">Return Date </t>
  </si>
  <si>
    <t xml:space="preserve">Flight Cost </t>
  </si>
  <si>
    <t xml:space="preserve">Hotel Name  </t>
  </si>
  <si>
    <t>NO</t>
  </si>
  <si>
    <t>Tokyo, Japan</t>
  </si>
  <si>
    <t>Park Hyatt</t>
  </si>
  <si>
    <t>Paris, France</t>
  </si>
  <si>
    <t>Hotel Lumière</t>
  </si>
  <si>
    <t>New York, USA</t>
  </si>
  <si>
    <t>The Grand Central</t>
  </si>
  <si>
    <t>Bali, Indonesia</t>
  </si>
  <si>
    <t>Azure Resort</t>
  </si>
  <si>
    <t>Rome, Italy</t>
  </si>
  <si>
    <t>Roma Antica</t>
  </si>
  <si>
    <t>London, UK</t>
  </si>
  <si>
    <t>The Savoy</t>
  </si>
  <si>
    <t>Sydney, Australia</t>
  </si>
  <si>
    <t>Harbour View</t>
  </si>
  <si>
    <t>Dubai, UAE</t>
  </si>
  <si>
    <t>Burj Al Arab</t>
  </si>
  <si>
    <t>Cape Town, SA</t>
  </si>
  <si>
    <t>Table Mountain Inn</t>
  </si>
  <si>
    <t xml:space="preserve">Food cost  </t>
  </si>
  <si>
    <t xml:space="preserve">Hotel cost  </t>
  </si>
  <si>
    <t>Total buget for 1</t>
  </si>
  <si>
    <t>Total buget for couple</t>
  </si>
  <si>
    <t>Trip details and budget</t>
  </si>
  <si>
    <t xml:space="preserve">couple budget cost will be </t>
  </si>
  <si>
    <t>TOTAL: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</si>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</sst>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8"/>
      <color theme="1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1" fillId="7" borderId="3" applyNumberFormat="0" applyFont="0" applyAlignment="0" applyProtection="0"/>
    <xf numFmtId="0" fontId="1" fillId="8" borderId="0" applyNumberFormat="0" applyBorder="0" applyAlignment="0" applyProtection="0"/>
    <xf numFmtId="0" fontId="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</cellStyleXfs>
  <cellXfs count="64">
    <xf numFmtId="0" fontId="0" fillId="0" borderId="0" xfId="0"/>
    <xf numFmtId="0" fontId="10" fillId="0" borderId="7" xfId="0" applyFont="1" applyBorder="1" applyAlignment="1">
      <alignment horizontal="left" vertical="center" wrapText="1" indent="1" readingOrder="1"/>
    </xf>
    <xf numFmtId="0" fontId="11" fillId="0" borderId="0" xfId="0" applyFont="1" applyAlignment="1">
      <alignment horizontal="left" vertical="center" wrapText="1" indent="1" readingOrder="1"/>
    </xf>
    <xf numFmtId="0" fontId="11" fillId="0" borderId="0" xfId="0" applyFont="1" applyAlignment="1">
      <alignment vertical="center" wrapText="1" readingOrder="1"/>
    </xf>
    <xf numFmtId="0" fontId="10" fillId="0" borderId="0" xfId="0" applyFont="1" applyAlignment="1">
      <alignment horizontal="left" vertical="center" wrapText="1" indent="1" readingOrder="1"/>
    </xf>
    <xf numFmtId="14" fontId="10" fillId="0" borderId="0" xfId="0" applyNumberFormat="1" applyFont="1" applyAlignment="1">
      <alignment horizontal="left" vertical="center" wrapText="1" indent="1" readingOrder="1"/>
    </xf>
    <xf numFmtId="3" fontId="10" fillId="0" borderId="0" xfId="0" applyNumberFormat="1" applyFont="1" applyAlignment="1">
      <alignment vertical="center" wrapText="1" readingOrder="1"/>
    </xf>
    <xf numFmtId="3" fontId="10" fillId="0" borderId="0" xfId="0" applyNumberFormat="1" applyFont="1" applyAlignment="1">
      <alignment horizontal="left" vertical="center" wrapText="1" indent="1" readingOrder="1"/>
    </xf>
    <xf numFmtId="0" fontId="8" fillId="6" borderId="6" xfId="5" applyFont="1" applyBorder="1" applyAlignment="1">
      <alignment horizontal="center" vertical="center"/>
    </xf>
    <xf numFmtId="0" fontId="8" fillId="6" borderId="5" xfId="5" applyFont="1" applyBorder="1" applyAlignment="1">
      <alignment horizontal="center" vertical="center"/>
    </xf>
    <xf numFmtId="0" fontId="8" fillId="6" borderId="9" xfId="5" applyFont="1" applyBorder="1" applyAlignment="1">
      <alignment horizontal="center" vertical="center"/>
    </xf>
    <xf numFmtId="0" fontId="13" fillId="2" borderId="8" xfId="1" applyFont="1" applyBorder="1" applyAlignment="1">
      <alignment horizontal="center" vertical="center"/>
    </xf>
    <xf numFmtId="0" fontId="8" fillId="6" borderId="16" xfId="5" applyFont="1" applyBorder="1" applyAlignment="1">
      <alignment horizontal="center" vertical="center"/>
    </xf>
    <xf numFmtId="0" fontId="1" fillId="10" borderId="8" xfId="9" applyBorder="1" applyAlignment="1">
      <alignment horizontal="center" vertical="center" wrapText="1" readingOrder="1"/>
    </xf>
    <xf numFmtId="14" fontId="1" fillId="10" borderId="8" xfId="9" applyNumberFormat="1" applyBorder="1" applyAlignment="1">
      <alignment horizontal="center" vertical="center" wrapText="1" readingOrder="1"/>
    </xf>
    <xf numFmtId="164" fontId="1" fillId="10" borderId="8" xfId="9" applyNumberFormat="1" applyBorder="1" applyAlignment="1">
      <alignment horizontal="center" vertical="center" wrapText="1" readingOrder="1"/>
    </xf>
    <xf numFmtId="0" fontId="1" fillId="11" borderId="8" xfId="10" applyBorder="1" applyAlignment="1">
      <alignment horizontal="center" vertical="center" wrapText="1" readingOrder="1"/>
    </xf>
    <xf numFmtId="14" fontId="1" fillId="11" borderId="8" xfId="10" applyNumberFormat="1" applyBorder="1" applyAlignment="1">
      <alignment horizontal="center" vertical="center" wrapText="1" readingOrder="1"/>
    </xf>
    <xf numFmtId="164" fontId="1" fillId="11" borderId="8" xfId="10" applyNumberFormat="1" applyBorder="1" applyAlignment="1">
      <alignment horizontal="center" vertical="center" wrapText="1" readingOrder="1"/>
    </xf>
    <xf numFmtId="0" fontId="1" fillId="13" borderId="8" xfId="12" applyBorder="1" applyAlignment="1">
      <alignment horizontal="center" vertical="center" wrapText="1" readingOrder="1"/>
    </xf>
    <xf numFmtId="14" fontId="1" fillId="13" borderId="8" xfId="12" applyNumberFormat="1" applyBorder="1" applyAlignment="1">
      <alignment horizontal="center" vertical="center" wrapText="1" readingOrder="1"/>
    </xf>
    <xf numFmtId="164" fontId="1" fillId="13" borderId="8" xfId="12" applyNumberFormat="1" applyBorder="1" applyAlignment="1">
      <alignment horizontal="center" vertical="center" wrapText="1" readingOrder="1"/>
    </xf>
    <xf numFmtId="0" fontId="1" fillId="14" borderId="8" xfId="13" applyBorder="1" applyAlignment="1">
      <alignment horizontal="center" vertical="center" wrapText="1" readingOrder="1"/>
    </xf>
    <xf numFmtId="14" fontId="1" fillId="14" borderId="8" xfId="13" applyNumberFormat="1" applyBorder="1" applyAlignment="1">
      <alignment horizontal="center" vertical="center" wrapText="1" readingOrder="1"/>
    </xf>
    <xf numFmtId="164" fontId="1" fillId="14" borderId="8" xfId="13" applyNumberFormat="1" applyBorder="1" applyAlignment="1">
      <alignment horizontal="center" vertical="center" wrapText="1" readingOrder="1"/>
    </xf>
    <xf numFmtId="0" fontId="3" fillId="3" borderId="8" xfId="2" applyBorder="1" applyAlignment="1">
      <alignment horizontal="center" vertical="center" wrapText="1" readingOrder="1"/>
    </xf>
    <xf numFmtId="14" fontId="3" fillId="3" borderId="8" xfId="2" applyNumberFormat="1" applyBorder="1" applyAlignment="1">
      <alignment horizontal="center" vertical="center" wrapText="1" readingOrder="1"/>
    </xf>
    <xf numFmtId="164" fontId="3" fillId="3" borderId="8" xfId="2" applyNumberFormat="1" applyBorder="1" applyAlignment="1">
      <alignment horizontal="center" vertical="center" wrapText="1" readingOrder="1"/>
    </xf>
    <xf numFmtId="0" fontId="4" fillId="4" borderId="8" xfId="3" applyBorder="1" applyAlignment="1">
      <alignment horizontal="center" vertical="center" wrapText="1" readingOrder="1"/>
    </xf>
    <xf numFmtId="14" fontId="4" fillId="4" borderId="8" xfId="3" applyNumberFormat="1" applyBorder="1" applyAlignment="1">
      <alignment horizontal="center" vertical="center" wrapText="1" readingOrder="1"/>
    </xf>
    <xf numFmtId="164" fontId="4" fillId="4" borderId="8" xfId="3" applyNumberFormat="1" applyBorder="1" applyAlignment="1">
      <alignment horizontal="center" vertical="center" wrapText="1" readingOrder="1"/>
    </xf>
    <xf numFmtId="0" fontId="10" fillId="7" borderId="8" xfId="6" applyFont="1" applyBorder="1" applyAlignment="1">
      <alignment horizontal="center" vertical="center" wrapText="1" readingOrder="1"/>
    </xf>
    <xf numFmtId="14" fontId="10" fillId="7" borderId="8" xfId="6" applyNumberFormat="1" applyFont="1" applyBorder="1" applyAlignment="1">
      <alignment horizontal="center" vertical="center" wrapText="1" readingOrder="1"/>
    </xf>
    <xf numFmtId="164" fontId="10" fillId="7" borderId="8" xfId="6" applyNumberFormat="1" applyFont="1" applyBorder="1" applyAlignment="1">
      <alignment horizontal="center" vertical="center" wrapText="1" readingOrder="1"/>
    </xf>
    <xf numFmtId="0" fontId="1" fillId="8" borderId="17" xfId="7" applyBorder="1" applyAlignment="1">
      <alignment horizontal="center" vertical="center"/>
    </xf>
    <xf numFmtId="0" fontId="1" fillId="8" borderId="18" xfId="7" applyBorder="1" applyAlignment="1">
      <alignment horizontal="center" vertical="center" wrapText="1" readingOrder="1"/>
    </xf>
    <xf numFmtId="14" fontId="1" fillId="8" borderId="18" xfId="7" applyNumberFormat="1" applyBorder="1" applyAlignment="1">
      <alignment horizontal="center" vertical="center" wrapText="1" readingOrder="1"/>
    </xf>
    <xf numFmtId="164" fontId="1" fillId="8" borderId="18" xfId="7" applyNumberFormat="1" applyBorder="1" applyAlignment="1">
      <alignment horizontal="center" vertical="center" wrapText="1" readingOrder="1"/>
    </xf>
    <xf numFmtId="164" fontId="1" fillId="8" borderId="19" xfId="7" applyNumberFormat="1" applyBorder="1" applyAlignment="1">
      <alignment horizontal="center" vertical="center" wrapText="1" readingOrder="1"/>
    </xf>
    <xf numFmtId="0" fontId="1" fillId="10" borderId="10" xfId="9" applyBorder="1" applyAlignment="1">
      <alignment horizontal="center" vertical="center"/>
    </xf>
    <xf numFmtId="164" fontId="1" fillId="10" borderId="20" xfId="9" applyNumberFormat="1" applyBorder="1" applyAlignment="1">
      <alignment horizontal="center" vertical="center" wrapText="1" readingOrder="1"/>
    </xf>
    <xf numFmtId="0" fontId="1" fillId="11" borderId="10" xfId="10" applyBorder="1" applyAlignment="1">
      <alignment horizontal="center" vertical="center"/>
    </xf>
    <xf numFmtId="164" fontId="1" fillId="11" borderId="20" xfId="10" applyNumberFormat="1" applyBorder="1" applyAlignment="1">
      <alignment horizontal="center" vertical="center" wrapText="1" readingOrder="1"/>
    </xf>
    <xf numFmtId="0" fontId="1" fillId="13" borderId="10" xfId="12" applyBorder="1" applyAlignment="1">
      <alignment horizontal="center" vertical="center"/>
    </xf>
    <xf numFmtId="164" fontId="1" fillId="13" borderId="20" xfId="12" applyNumberFormat="1" applyBorder="1" applyAlignment="1">
      <alignment horizontal="center" vertical="center" wrapText="1" readingOrder="1"/>
    </xf>
    <xf numFmtId="0" fontId="1" fillId="14" borderId="10" xfId="13" applyBorder="1" applyAlignment="1">
      <alignment horizontal="center" vertical="center"/>
    </xf>
    <xf numFmtId="164" fontId="1" fillId="14" borderId="20" xfId="13" applyNumberFormat="1" applyBorder="1" applyAlignment="1">
      <alignment horizontal="center" vertical="center" wrapText="1" readingOrder="1"/>
    </xf>
    <xf numFmtId="0" fontId="3" fillId="3" borderId="10" xfId="2" applyBorder="1" applyAlignment="1">
      <alignment horizontal="center" vertical="center"/>
    </xf>
    <xf numFmtId="164" fontId="3" fillId="3" borderId="20" xfId="2" applyNumberFormat="1" applyBorder="1" applyAlignment="1">
      <alignment horizontal="center" vertical="center" wrapText="1" readingOrder="1"/>
    </xf>
    <xf numFmtId="0" fontId="4" fillId="4" borderId="10" xfId="3" applyBorder="1" applyAlignment="1">
      <alignment horizontal="center" vertical="center"/>
    </xf>
    <xf numFmtId="164" fontId="4" fillId="4" borderId="20" xfId="3" applyNumberFormat="1" applyBorder="1" applyAlignment="1">
      <alignment horizontal="center" vertical="center" wrapText="1" readingOrder="1"/>
    </xf>
    <xf numFmtId="0" fontId="9" fillId="7" borderId="10" xfId="6" applyFont="1" applyBorder="1" applyAlignment="1">
      <alignment horizontal="center" vertical="center"/>
    </xf>
    <xf numFmtId="164" fontId="10" fillId="7" borderId="20" xfId="6" applyNumberFormat="1" applyFont="1" applyBorder="1" applyAlignment="1">
      <alignment horizontal="center" vertical="center" wrapText="1" readingOrder="1"/>
    </xf>
    <xf numFmtId="0" fontId="5" fillId="5" borderId="11" xfId="4" applyBorder="1" applyAlignment="1">
      <alignment horizontal="center" vertical="center"/>
    </xf>
    <xf numFmtId="0" fontId="5" fillId="5" borderId="12" xfId="4" applyBorder="1" applyAlignment="1">
      <alignment horizontal="center" vertical="center" wrapText="1" readingOrder="1"/>
    </xf>
    <xf numFmtId="14" fontId="5" fillId="5" borderId="12" xfId="4" applyNumberFormat="1" applyBorder="1" applyAlignment="1">
      <alignment horizontal="center" vertical="center" wrapText="1" readingOrder="1"/>
    </xf>
    <xf numFmtId="164" fontId="5" fillId="5" borderId="12" xfId="4" applyNumberFormat="1" applyBorder="1" applyAlignment="1">
      <alignment horizontal="center" vertical="center" wrapText="1" readingOrder="1"/>
    </xf>
    <xf numFmtId="164" fontId="5" fillId="5" borderId="21" xfId="4" applyNumberFormat="1" applyBorder="1" applyAlignment="1">
      <alignment horizontal="center" vertical="center" wrapText="1" readingOrder="1"/>
    </xf>
    <xf numFmtId="164" fontId="14" fillId="9" borderId="4" xfId="8" applyNumberFormat="1" applyFont="1" applyBorder="1" applyAlignment="1">
      <alignment horizontal="center" vertical="center"/>
    </xf>
    <xf numFmtId="164" fontId="5" fillId="5" borderId="22" xfId="4" applyNumberFormat="1" applyBorder="1" applyAlignment="1">
      <alignment horizontal="center" vertical="center" wrapText="1" readingOrder="1"/>
    </xf>
    <xf numFmtId="164" fontId="14" fillId="9" borderId="13" xfId="8" applyNumberFormat="1" applyFont="1" applyBorder="1" applyAlignment="1">
      <alignment horizontal="center" vertical="center"/>
    </xf>
    <xf numFmtId="0" fontId="12" fillId="12" borderId="13" xfId="11" applyFont="1" applyBorder="1" applyAlignment="1">
      <alignment horizontal="center" vertical="center"/>
    </xf>
    <xf numFmtId="0" fontId="12" fillId="12" borderId="14" xfId="11" applyFont="1" applyBorder="1" applyAlignment="1">
      <alignment horizontal="center" vertical="center"/>
    </xf>
    <xf numFmtId="0" fontId="12" fillId="12" borderId="15" xfId="11" applyFont="1" applyBorder="1" applyAlignment="1">
      <alignment horizontal="center" vertical="center"/>
    </xf>
  </cellXfs>
  <cellStyles count="14">
    <cellStyle name="20% - Accent1" xfId="7" builtinId="30"/>
    <cellStyle name="20% - Accent2" xfId="9" builtinId="34"/>
    <cellStyle name="20% - Accent3" xfId="10" builtinId="38"/>
    <cellStyle name="20% - Accent5" xfId="12" builtinId="46"/>
    <cellStyle name="20% - Accent6" xfId="13" builtinId="50"/>
    <cellStyle name="40% - Accent4" xfId="11" builtinId="43"/>
    <cellStyle name="Accent2" xfId="8" builtinId="33"/>
    <cellStyle name="Bad" xfId="2" builtinId="27"/>
    <cellStyle name="Check Cell" xfId="5" builtinId="23"/>
    <cellStyle name="Good" xfId="1" builtinId="26"/>
    <cellStyle name="Input" xfId="4" builtinId="20"/>
    <cellStyle name="Neutral" xfId="3" builtinId="28"/>
    <cellStyle name="Normal" xfId="0" builtinId="0"/>
    <cellStyle name="Note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70C4-2CCA-4561-A4DB-FC4968422681}">
  <dimension ref="G6:W43"/>
  <sheetViews>
    <sheetView tabSelected="1" topLeftCell="H5" workbookViewId="0">
      <selection activeCell="O7" sqref="O7"/>
    </sheetView>
  </sheetViews>
  <sheetFormatPr defaultRowHeight="15" x14ac:dyDescent="0.25"/>
  <cols>
    <col min="5" max="5" width="9.140625" customWidth="1"/>
    <col min="6" max="6" width="7.140625" customWidth="1"/>
    <col min="7" max="7" width="10.28515625" customWidth="1"/>
    <col min="8" max="8" width="29.5703125" customWidth="1"/>
    <col min="9" max="9" width="26.140625" customWidth="1"/>
    <col min="10" max="10" width="20.85546875" customWidth="1"/>
    <col min="11" max="11" width="19.140625" customWidth="1"/>
    <col min="12" max="12" width="22" customWidth="1"/>
    <col min="13" max="13" width="20.7109375" customWidth="1"/>
    <col min="14" max="14" width="21.140625" customWidth="1"/>
    <col min="15" max="15" width="22.5703125" customWidth="1"/>
    <col min="16" max="16" width="33.140625" customWidth="1"/>
    <col min="18" max="18" width="37.7109375" customWidth="1"/>
  </cols>
  <sheetData>
    <row r="6" spans="7:23" ht="15.75" thickBot="1" x14ac:dyDescent="0.3"/>
    <row r="7" spans="7:23" ht="61.5" customHeight="1" thickBot="1" x14ac:dyDescent="0.3">
      <c r="J7" s="61" t="s">
        <v>28</v>
      </c>
      <c r="K7" s="62"/>
      <c r="L7" s="63"/>
    </row>
    <row r="10" spans="7:23" ht="15.75" thickBot="1" x14ac:dyDescent="0.3"/>
    <row r="11" spans="7:23" ht="46.5" customHeight="1" thickBot="1" x14ac:dyDescent="0.3">
      <c r="G11" s="8" t="s">
        <v>5</v>
      </c>
      <c r="H11" s="9" t="s">
        <v>0</v>
      </c>
      <c r="I11" s="10" t="s">
        <v>1</v>
      </c>
      <c r="J11" s="10" t="s">
        <v>2</v>
      </c>
      <c r="K11" s="12" t="s">
        <v>3</v>
      </c>
      <c r="L11" s="10" t="s">
        <v>4</v>
      </c>
      <c r="M11" s="8" t="s">
        <v>25</v>
      </c>
      <c r="N11" s="8" t="s">
        <v>24</v>
      </c>
      <c r="O11" s="8" t="s">
        <v>26</v>
      </c>
      <c r="P11" s="8" t="s">
        <v>27</v>
      </c>
      <c r="R11" s="11" t="s">
        <v>29</v>
      </c>
    </row>
    <row r="12" spans="7:23" ht="39" customHeight="1" x14ac:dyDescent="0.25">
      <c r="G12" s="34">
        <v>1</v>
      </c>
      <c r="H12" s="35" t="s">
        <v>6</v>
      </c>
      <c r="I12" s="36">
        <v>46152</v>
      </c>
      <c r="J12" s="36">
        <v>46162</v>
      </c>
      <c r="K12" s="37">
        <v>8500</v>
      </c>
      <c r="L12" s="35" t="s">
        <v>7</v>
      </c>
      <c r="M12" s="37">
        <v>3500</v>
      </c>
      <c r="N12" s="37">
        <v>2490</v>
      </c>
      <c r="O12" s="37">
        <f>K12+M12+N12</f>
        <v>14490</v>
      </c>
      <c r="P12" s="38">
        <f>O12*$R$12</f>
        <v>28980</v>
      </c>
      <c r="Q12" s="2"/>
      <c r="R12" s="11">
        <v>2</v>
      </c>
      <c r="S12" s="2"/>
      <c r="T12" s="2"/>
      <c r="U12" s="2"/>
      <c r="V12" s="2"/>
      <c r="W12" s="3"/>
    </row>
    <row r="13" spans="7:23" ht="40.5" customHeight="1" x14ac:dyDescent="0.25">
      <c r="G13" s="39">
        <v>2</v>
      </c>
      <c r="H13" s="13" t="s">
        <v>8</v>
      </c>
      <c r="I13" s="14">
        <v>46188</v>
      </c>
      <c r="J13" s="14">
        <v>46198</v>
      </c>
      <c r="K13" s="15">
        <v>7200</v>
      </c>
      <c r="L13" s="13" t="s">
        <v>9</v>
      </c>
      <c r="M13" s="15">
        <v>4200</v>
      </c>
      <c r="N13" s="15">
        <v>3200</v>
      </c>
      <c r="O13" s="15">
        <f t="shared" ref="O13:O20" si="0">K13+M13+N13</f>
        <v>14600</v>
      </c>
      <c r="P13" s="40">
        <f t="shared" ref="P13:P20" si="1">O13*$R$12</f>
        <v>29200</v>
      </c>
      <c r="Q13" s="4"/>
      <c r="R13" s="4"/>
      <c r="S13" s="5"/>
      <c r="T13" s="5"/>
      <c r="U13" s="4"/>
      <c r="V13" s="4"/>
      <c r="W13" s="6"/>
    </row>
    <row r="14" spans="7:23" ht="35.25" customHeight="1" x14ac:dyDescent="0.25">
      <c r="G14" s="41">
        <v>3</v>
      </c>
      <c r="H14" s="16" t="s">
        <v>10</v>
      </c>
      <c r="I14" s="17">
        <v>46207</v>
      </c>
      <c r="J14" s="17">
        <v>46215</v>
      </c>
      <c r="K14" s="18">
        <v>4500</v>
      </c>
      <c r="L14" s="16" t="s">
        <v>11</v>
      </c>
      <c r="M14" s="18">
        <v>2800</v>
      </c>
      <c r="N14" s="18">
        <v>1800</v>
      </c>
      <c r="O14" s="18">
        <f t="shared" si="0"/>
        <v>9100</v>
      </c>
      <c r="P14" s="42">
        <f t="shared" si="1"/>
        <v>18200</v>
      </c>
      <c r="Q14" s="4"/>
      <c r="R14" s="4"/>
      <c r="S14" s="5"/>
      <c r="T14" s="5"/>
      <c r="U14" s="4"/>
      <c r="V14" s="4"/>
      <c r="W14" s="6"/>
    </row>
    <row r="15" spans="7:23" ht="41.25" customHeight="1" x14ac:dyDescent="0.25">
      <c r="G15" s="43">
        <v>4</v>
      </c>
      <c r="H15" s="19" t="s">
        <v>12</v>
      </c>
      <c r="I15" s="20">
        <v>46254</v>
      </c>
      <c r="J15" s="20">
        <v>46264</v>
      </c>
      <c r="K15" s="21">
        <v>6000</v>
      </c>
      <c r="L15" s="19" t="s">
        <v>13</v>
      </c>
      <c r="M15" s="21">
        <v>1500</v>
      </c>
      <c r="N15" s="21">
        <v>1200</v>
      </c>
      <c r="O15" s="21">
        <f t="shared" si="0"/>
        <v>8700</v>
      </c>
      <c r="P15" s="44">
        <f t="shared" si="1"/>
        <v>17400</v>
      </c>
      <c r="Q15" s="4"/>
      <c r="R15" s="4"/>
      <c r="S15" s="5"/>
      <c r="T15" s="5"/>
      <c r="U15" s="4"/>
      <c r="V15" s="4"/>
      <c r="W15" s="6"/>
    </row>
    <row r="16" spans="7:23" ht="39.75" customHeight="1" x14ac:dyDescent="0.25">
      <c r="G16" s="45">
        <v>5</v>
      </c>
      <c r="H16" s="22" t="s">
        <v>14</v>
      </c>
      <c r="I16" s="23">
        <v>46277</v>
      </c>
      <c r="J16" s="23">
        <v>46287</v>
      </c>
      <c r="K16" s="24">
        <v>6800</v>
      </c>
      <c r="L16" s="22" t="s">
        <v>15</v>
      </c>
      <c r="M16" s="24">
        <v>3100</v>
      </c>
      <c r="N16" s="24">
        <v>1900</v>
      </c>
      <c r="O16" s="24">
        <f t="shared" si="0"/>
        <v>11800</v>
      </c>
      <c r="P16" s="46">
        <f t="shared" si="1"/>
        <v>23600</v>
      </c>
      <c r="Q16" s="4"/>
      <c r="R16" s="4" t="s">
        <v>31</v>
      </c>
      <c r="S16" s="5"/>
      <c r="T16" s="5"/>
      <c r="U16" s="4"/>
      <c r="V16" s="4"/>
      <c r="W16" s="6"/>
    </row>
    <row r="17" spans="7:23" ht="37.5" customHeight="1" x14ac:dyDescent="0.25">
      <c r="G17" s="47">
        <v>6</v>
      </c>
      <c r="H17" s="25" t="s">
        <v>16</v>
      </c>
      <c r="I17" s="26">
        <v>46300</v>
      </c>
      <c r="J17" s="26">
        <v>46310</v>
      </c>
      <c r="K17" s="27">
        <v>5500</v>
      </c>
      <c r="L17" s="25" t="s">
        <v>17</v>
      </c>
      <c r="M17" s="27">
        <v>4000</v>
      </c>
      <c r="N17" s="27">
        <v>3000</v>
      </c>
      <c r="O17" s="27">
        <f t="shared" si="0"/>
        <v>12500</v>
      </c>
      <c r="P17" s="48">
        <f t="shared" si="1"/>
        <v>25000</v>
      </c>
      <c r="Q17" s="4"/>
      <c r="R17" s="4"/>
      <c r="S17" s="5"/>
      <c r="T17" s="5"/>
      <c r="U17" s="4"/>
      <c r="V17" s="4"/>
      <c r="W17" s="6"/>
    </row>
    <row r="18" spans="7:23" ht="39" customHeight="1" x14ac:dyDescent="0.25">
      <c r="G18" s="49">
        <v>7</v>
      </c>
      <c r="H18" s="28" t="s">
        <v>18</v>
      </c>
      <c r="I18" s="29">
        <v>46344</v>
      </c>
      <c r="J18" s="29">
        <v>46354</v>
      </c>
      <c r="K18" s="30">
        <v>12000</v>
      </c>
      <c r="L18" s="28" t="s">
        <v>19</v>
      </c>
      <c r="M18" s="30">
        <v>5500</v>
      </c>
      <c r="N18" s="30">
        <v>9500</v>
      </c>
      <c r="O18" s="30">
        <f t="shared" si="0"/>
        <v>27000</v>
      </c>
      <c r="P18" s="50">
        <f t="shared" si="1"/>
        <v>54000</v>
      </c>
      <c r="Q18" s="4"/>
      <c r="R18" s="4"/>
      <c r="S18" s="5"/>
      <c r="T18" s="5"/>
      <c r="U18" s="4"/>
      <c r="V18" s="4"/>
      <c r="W18" s="6"/>
    </row>
    <row r="19" spans="7:23" ht="38.25" customHeight="1" x14ac:dyDescent="0.25">
      <c r="G19" s="51">
        <v>8</v>
      </c>
      <c r="H19" s="31" t="s">
        <v>20</v>
      </c>
      <c r="I19" s="32">
        <v>46366</v>
      </c>
      <c r="J19" s="32">
        <v>46373</v>
      </c>
      <c r="K19" s="33">
        <v>5000</v>
      </c>
      <c r="L19" s="31" t="s">
        <v>21</v>
      </c>
      <c r="M19" s="33">
        <v>6000</v>
      </c>
      <c r="N19" s="33">
        <v>4000</v>
      </c>
      <c r="O19" s="33">
        <f t="shared" si="0"/>
        <v>15000</v>
      </c>
      <c r="P19" s="52">
        <f t="shared" si="1"/>
        <v>30000</v>
      </c>
      <c r="Q19" s="4"/>
      <c r="R19" s="4"/>
      <c r="S19" s="5"/>
      <c r="T19" s="5"/>
      <c r="U19" s="7"/>
      <c r="V19" s="4"/>
      <c r="W19" s="6"/>
    </row>
    <row r="20" spans="7:23" ht="41.25" customHeight="1" thickBot="1" x14ac:dyDescent="0.3">
      <c r="G20" s="53">
        <v>9</v>
      </c>
      <c r="H20" s="54" t="s">
        <v>22</v>
      </c>
      <c r="I20" s="55">
        <v>46402</v>
      </c>
      <c r="J20" s="55">
        <v>46412</v>
      </c>
      <c r="K20" s="56">
        <v>9500</v>
      </c>
      <c r="L20" s="54" t="s">
        <v>23</v>
      </c>
      <c r="M20" s="56">
        <v>2200</v>
      </c>
      <c r="N20" s="59">
        <v>3200</v>
      </c>
      <c r="O20" s="59">
        <f t="shared" si="0"/>
        <v>14900</v>
      </c>
      <c r="P20" s="57">
        <f t="shared" si="1"/>
        <v>29800</v>
      </c>
      <c r="Q20" s="4"/>
      <c r="R20" s="4"/>
      <c r="S20" s="5"/>
      <c r="T20" s="5"/>
      <c r="U20" s="4"/>
      <c r="V20" s="4"/>
      <c r="W20" s="6"/>
    </row>
    <row r="21" spans="7:23" ht="44.25" customHeight="1" thickBot="1" x14ac:dyDescent="0.3">
      <c r="N21" s="60" t="s">
        <v>30</v>
      </c>
      <c r="O21" s="58">
        <f>SUM(O12:O20)</f>
        <v>128090</v>
      </c>
      <c r="P21" s="58">
        <f>SUM(P12:P20)</f>
        <v>256180</v>
      </c>
      <c r="Q21" s="4"/>
      <c r="R21" s="4"/>
      <c r="S21" s="5"/>
      <c r="T21" s="5"/>
      <c r="U21" s="4"/>
      <c r="V21" s="4"/>
      <c r="W21" s="6"/>
    </row>
    <row r="34" spans="18:18" ht="15.75" thickBot="1" x14ac:dyDescent="0.3"/>
    <row r="35" spans="18:18" ht="15.75" thickBot="1" x14ac:dyDescent="0.3">
      <c r="R35" s="1" t="s">
        <v>6</v>
      </c>
    </row>
    <row r="36" spans="18:18" ht="15.75" thickBot="1" x14ac:dyDescent="0.3">
      <c r="R36" s="1" t="s">
        <v>8</v>
      </c>
    </row>
    <row r="37" spans="18:18" ht="15.75" thickBot="1" x14ac:dyDescent="0.3">
      <c r="R37" s="1" t="s">
        <v>10</v>
      </c>
    </row>
    <row r="38" spans="18:18" ht="15.75" thickBot="1" x14ac:dyDescent="0.3">
      <c r="R38" s="1" t="s">
        <v>12</v>
      </c>
    </row>
    <row r="39" spans="18:18" ht="15.75" thickBot="1" x14ac:dyDescent="0.3">
      <c r="R39" s="1" t="s">
        <v>14</v>
      </c>
    </row>
    <row r="40" spans="18:18" ht="15.75" thickBot="1" x14ac:dyDescent="0.3">
      <c r="R40" s="1" t="s">
        <v>16</v>
      </c>
    </row>
    <row r="41" spans="18:18" ht="15.75" thickBot="1" x14ac:dyDescent="0.3">
      <c r="R41" s="1" t="s">
        <v>18</v>
      </c>
    </row>
    <row r="42" spans="18:18" ht="15.75" thickBot="1" x14ac:dyDescent="0.3">
      <c r="R42" s="1" t="s">
        <v>20</v>
      </c>
    </row>
    <row r="43" spans="18:18" ht="15.75" thickBot="1" x14ac:dyDescent="0.3">
      <c r="R43" s="1" t="s">
        <v>22</v>
      </c>
    </row>
  </sheetData>
  <mergeCells count="1">
    <mergeCell ref="J7:L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02C7-1ED1-4853-9253-8161CC87F360}">
  <dimension ref="A1"/>
  <sheetViews>
    <sheetView workbookViewId="0">
      <selection activeCell="I11" sqref="I11:W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tripdetails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</dc:creator>
  <cp:lastModifiedBy>Sanjay M</cp:lastModifiedBy>
  <dcterms:created xsi:type="dcterms:W3CDTF">2026-04-18T02:05:03Z</dcterms:created>
  <dcterms:modified xsi:type="dcterms:W3CDTF">2026-04-18T03:19:15Z</dcterms:modified>
</cp:coreProperties>
</file>